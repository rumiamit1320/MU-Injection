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/>
  </bookViews>
  <sheets>
    <sheet name="MU inj JEC" sheetId="1" r:id="rId1"/>
    <sheet name="Sheet2" sheetId="2" state="hidden" r:id="rId2"/>
    <sheet name="Sheet3" sheetId="3" state="hidden" r:id="rId3"/>
  </sheets>
  <calcPr calcId="124519"/>
</workbook>
</file>

<file path=xl/calcChain.xml><?xml version="1.0" encoding="utf-8"?>
<calcChain xmlns="http://schemas.openxmlformats.org/spreadsheetml/2006/main">
  <c r="F17" i="1"/>
  <c r="H17" s="1"/>
  <c r="F18"/>
  <c r="H18" s="1"/>
  <c r="F19"/>
  <c r="H19" s="1"/>
  <c r="F20"/>
  <c r="H20" s="1"/>
  <c r="F21"/>
  <c r="H21" s="1"/>
  <c r="F22"/>
  <c r="H22" s="1"/>
  <c r="F40"/>
  <c r="H40" s="1"/>
  <c r="F35"/>
  <c r="H35" s="1"/>
  <c r="F49" l="1"/>
  <c r="H49" s="1"/>
  <c r="F46"/>
  <c r="H46" s="1"/>
  <c r="F34"/>
  <c r="H34" s="1"/>
  <c r="F42" l="1"/>
  <c r="H42" s="1"/>
  <c r="F48"/>
  <c r="H48" s="1"/>
  <c r="F47"/>
  <c r="H47" s="1"/>
  <c r="F23"/>
  <c r="F41"/>
  <c r="H41" s="1"/>
  <c r="F10"/>
  <c r="H10" s="1"/>
  <c r="F13" l="1"/>
  <c r="F12" l="1"/>
  <c r="H12" s="1"/>
  <c r="F11"/>
  <c r="H11" s="1"/>
  <c r="F9"/>
  <c r="H9" s="1"/>
  <c r="F8"/>
  <c r="H8" s="1"/>
  <c r="F7"/>
  <c r="H7" s="1"/>
  <c r="F16" l="1"/>
  <c r="H16" s="1"/>
  <c r="F25" l="1"/>
  <c r="H25" s="1"/>
  <c r="F24"/>
  <c r="H24" s="1"/>
  <c r="H23"/>
  <c r="F39"/>
  <c r="F38"/>
  <c r="F37"/>
  <c r="F36"/>
  <c r="F30"/>
  <c r="F29"/>
  <c r="F28"/>
  <c r="F27"/>
  <c r="F26"/>
  <c r="F15"/>
  <c r="F14"/>
  <c r="H15" l="1"/>
  <c r="H13"/>
  <c r="H14"/>
  <c r="H30"/>
  <c r="H29"/>
  <c r="H28"/>
  <c r="H27"/>
  <c r="H26"/>
  <c r="H39" l="1"/>
  <c r="H37" l="1"/>
  <c r="H38"/>
  <c r="H51" l="1"/>
  <c r="H44"/>
  <c r="H32" l="1"/>
  <c r="H52" s="1"/>
  <c r="F54" l="1"/>
</calcChain>
</file>

<file path=xl/sharedStrings.xml><?xml version="1.0" encoding="utf-8"?>
<sst xmlns="http://schemas.openxmlformats.org/spreadsheetml/2006/main" count="99" uniqueCount="94">
  <si>
    <t>Sl.No</t>
  </si>
  <si>
    <t>NAME of the FEEDER/INJECTION POINT</t>
  </si>
  <si>
    <t>METER No.</t>
  </si>
  <si>
    <t>PRESENT READING</t>
  </si>
  <si>
    <t>LAST READING</t>
  </si>
  <si>
    <t xml:space="preserve">DIFFERENCE </t>
  </si>
  <si>
    <t>M.F.</t>
  </si>
  <si>
    <t>ENERGY (In M.U.)</t>
  </si>
  <si>
    <t>REMARKS</t>
  </si>
  <si>
    <t>A.</t>
  </si>
  <si>
    <t xml:space="preserve">Energy Injection From GSS/SS At 33KV </t>
  </si>
  <si>
    <t>SUB-TOTAL (A)</t>
  </si>
  <si>
    <t>Add energy injected into the Circle through interface points from other circles</t>
  </si>
  <si>
    <t>B.</t>
  </si>
  <si>
    <t>C.</t>
  </si>
  <si>
    <t>Less Energy Diverted from the Circle through interface points to other circles</t>
  </si>
  <si>
    <t>OPEN ACCESS ENERGY</t>
  </si>
  <si>
    <t>D.</t>
  </si>
  <si>
    <t>Name of Injection Points</t>
  </si>
  <si>
    <t>33 KV MARIANI-TITABAR</t>
  </si>
  <si>
    <t>33 KV PHULONI</t>
  </si>
  <si>
    <t>33 KV BONGAON</t>
  </si>
  <si>
    <t>33 KV WOKHA-BORHOLLA</t>
  </si>
  <si>
    <t>33 KV KAMARBONDHA-GOTONGA</t>
  </si>
  <si>
    <t>11 KV GABHORU (From AMGURI S/s)</t>
  </si>
  <si>
    <r>
      <t xml:space="preserve">           </t>
    </r>
    <r>
      <rPr>
        <b/>
        <sz val="11"/>
        <color theme="1"/>
        <rFont val="Century Gothic"/>
        <family val="2"/>
      </rPr>
      <t xml:space="preserve"> SUB-TOTAL (B)</t>
    </r>
  </si>
  <si>
    <r>
      <t xml:space="preserve">              </t>
    </r>
    <r>
      <rPr>
        <b/>
        <sz val="11"/>
        <color theme="1"/>
        <rFont val="Century Gothic"/>
        <family val="2"/>
      </rPr>
      <t>SUB-TOTAL (C)</t>
    </r>
  </si>
  <si>
    <t>33 KV Dergaon</t>
  </si>
  <si>
    <t>33KV Panichukua</t>
  </si>
  <si>
    <t>33 KV Pulibar</t>
  </si>
  <si>
    <t xml:space="preserve">11 KV FEEDER No. 6 (FROM TEOK SUBDIVISION TO GAURISAGAR S/D) </t>
  </si>
  <si>
    <t>TOTAL ENERGY RECEIVED BY THE CIRCLE:-</t>
  </si>
  <si>
    <t>MU</t>
  </si>
  <si>
    <t>33 KV KHOOMTAI-RANGOLITING</t>
  </si>
  <si>
    <t>33KV WOKHA-BORHOLA</t>
  </si>
  <si>
    <t>11 KV GAURISAGAR-CHINTAMANIGARH</t>
  </si>
  <si>
    <t>11 KV GAURISAGAR-KHANAMUKH</t>
  </si>
  <si>
    <t>AS675622</t>
  </si>
  <si>
    <t>AS799650</t>
  </si>
  <si>
    <t>33 KV Ajanta Bypass</t>
  </si>
  <si>
    <t>33 KV KOLIAPANI-TEOK</t>
  </si>
  <si>
    <t>33 KV Panichokua-Gotonga</t>
  </si>
  <si>
    <t>33 KV KOLIAPANI-BHOGAMUKH</t>
  </si>
  <si>
    <t>11 KV Khanamukh-Charingia</t>
  </si>
  <si>
    <t>TOTAL ENERGY INJECTED = (A+B)-C</t>
  </si>
  <si>
    <t>11KV BOSA(ATHKHELIA)</t>
  </si>
  <si>
    <t>IEM00000192A</t>
  </si>
  <si>
    <t>IEM00000184A</t>
  </si>
  <si>
    <t>IEM00000214A</t>
  </si>
  <si>
    <t>IEM00000390A</t>
  </si>
  <si>
    <t>IEM00000400A</t>
  </si>
  <si>
    <t>IEM00000341A</t>
  </si>
  <si>
    <t>IEM00000408A</t>
  </si>
  <si>
    <t>33 KV TEOK-KAKOJAN</t>
  </si>
  <si>
    <t>IEM00000454A</t>
  </si>
  <si>
    <t>IEM00000261A</t>
  </si>
  <si>
    <t>IEM00000462A</t>
  </si>
  <si>
    <t>IEM00000472A</t>
  </si>
  <si>
    <t>IEM00000393A</t>
  </si>
  <si>
    <t>IEM00000410A</t>
  </si>
  <si>
    <t>IEM00000328A</t>
  </si>
  <si>
    <t>IEM00000129A</t>
  </si>
  <si>
    <t>IEM00000540A</t>
  </si>
  <si>
    <t>IEM00000484A</t>
  </si>
  <si>
    <t>IEM00000237A</t>
  </si>
  <si>
    <t>IEM00000370A</t>
  </si>
  <si>
    <t>IEM00000351A</t>
  </si>
  <si>
    <t>IEM00000269A</t>
  </si>
  <si>
    <t>IEM00000282A</t>
  </si>
  <si>
    <t>Import from Sivsagar Circle</t>
  </si>
  <si>
    <t>33 KV GARAMUR</t>
  </si>
  <si>
    <t>Export to Gaurisaar ESD (CT PT DAMAGED)</t>
  </si>
  <si>
    <t>33 KV MARIANI-BAGDHARA (ONGC)</t>
  </si>
  <si>
    <t>33 KV PGCIL</t>
  </si>
  <si>
    <t>33 KV MARIANI-DHAPATBARI</t>
  </si>
  <si>
    <t>33 KV MORIANI</t>
  </si>
  <si>
    <t>33 KV JORHAT-I</t>
  </si>
  <si>
    <t>33 KV JORHAT-II</t>
  </si>
  <si>
    <t>33 KV JORHAT-III</t>
  </si>
  <si>
    <t>33 KV GARMUR</t>
  </si>
  <si>
    <t>33 KV KOLAKHOWA-KAKOJAN</t>
  </si>
  <si>
    <t>33 KV MURMURIA LINE</t>
  </si>
  <si>
    <t>33 KV PGCIL-II(IRCA Consumer)</t>
  </si>
  <si>
    <t>33 KV Radhabari-Rangoliting</t>
  </si>
  <si>
    <t>33 KV GOTONGA-KAMARBONDHA</t>
  </si>
  <si>
    <t>Import from GEC</t>
  </si>
  <si>
    <t>Export to GEC</t>
  </si>
  <si>
    <t>Export to GEC(Kamargaon)</t>
  </si>
  <si>
    <t>Import to JEC(Titabor ESD)</t>
  </si>
  <si>
    <t>Meter changed on 28.05.25</t>
  </si>
  <si>
    <t>Export to GEC (Meter changed on 28.05.25)</t>
  </si>
  <si>
    <t>Export to GEC(GESD-II) Meter Changed on 25.06.25</t>
  </si>
  <si>
    <t>33 KV Stadium Fdr</t>
  </si>
  <si>
    <t>Q1025028</t>
  </si>
</sst>
</file>

<file path=xl/styles.xml><?xml version="1.0" encoding="utf-8"?>
<styleSheet xmlns="http://schemas.openxmlformats.org/spreadsheetml/2006/main">
  <numFmts count="6">
    <numFmt numFmtId="164" formatCode="0.000000"/>
    <numFmt numFmtId="165" formatCode="0.0"/>
    <numFmt numFmtId="166" formatCode="0.000"/>
    <numFmt numFmtId="167" formatCode="0.0000000"/>
    <numFmt numFmtId="168" formatCode="0.0000"/>
    <numFmt numFmtId="169" formatCode="0.00000000"/>
  </numFmts>
  <fonts count="25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i/>
      <sz val="11"/>
      <color theme="1"/>
      <name val="Century Gothic"/>
      <family val="2"/>
    </font>
    <font>
      <u/>
      <sz val="11"/>
      <color theme="1"/>
      <name val="Century Gothic"/>
      <family val="2"/>
    </font>
    <font>
      <i/>
      <u/>
      <sz val="11"/>
      <color theme="1"/>
      <name val="Century Gothic"/>
      <family val="2"/>
    </font>
    <font>
      <i/>
      <u/>
      <sz val="10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12"/>
      <color rgb="FFFF0000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1"/>
      <color rgb="FF000000"/>
      <name val="Century Gothic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u/>
      <sz val="11"/>
      <color theme="1"/>
      <name val="Century Gothic"/>
      <family val="2"/>
    </font>
    <font>
      <b/>
      <sz val="11"/>
      <color theme="1"/>
      <name val="Arial"/>
      <family val="2"/>
    </font>
    <font>
      <sz val="12"/>
      <color theme="1"/>
      <name val="Century Gothic"/>
      <family val="2"/>
    </font>
    <font>
      <b/>
      <sz val="12"/>
      <name val="Arial"/>
      <family val="2"/>
    </font>
    <font>
      <b/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10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0" fontId="15" fillId="0" borderId="0" xfId="0" applyFont="1" applyFill="1"/>
    <xf numFmtId="0" fontId="1" fillId="0" borderId="0" xfId="0" applyFont="1" applyFill="1" applyAlignment="1">
      <alignment horizontal="right" vertical="center"/>
    </xf>
    <xf numFmtId="166" fontId="14" fillId="0" borderId="1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167" fontId="7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justify"/>
    </xf>
    <xf numFmtId="0" fontId="10" fillId="0" borderId="1" xfId="0" applyFont="1" applyFill="1" applyBorder="1" applyAlignment="1">
      <alignment horizontal="justify"/>
    </xf>
    <xf numFmtId="0" fontId="12" fillId="0" borderId="1" xfId="0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justify" vertical="center" wrapText="1"/>
    </xf>
    <xf numFmtId="164" fontId="7" fillId="0" borderId="1" xfId="0" applyNumberFormat="1" applyFont="1" applyFill="1" applyBorder="1" applyAlignment="1">
      <alignment horizontal="center"/>
    </xf>
    <xf numFmtId="0" fontId="1" fillId="0" borderId="6" xfId="0" applyFont="1" applyFill="1" applyBorder="1"/>
    <xf numFmtId="1" fontId="14" fillId="0" borderId="1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2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justify"/>
    </xf>
    <xf numFmtId="0" fontId="7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69" fontId="7" fillId="0" borderId="1" xfId="0" applyNumberFormat="1" applyFont="1" applyFill="1" applyBorder="1" applyAlignment="1">
      <alignment horizontal="center"/>
    </xf>
    <xf numFmtId="0" fontId="15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justify" vertical="center" wrapText="1"/>
    </xf>
    <xf numFmtId="166" fontId="1" fillId="0" borderId="1" xfId="0" applyNumberFormat="1" applyFont="1" applyFill="1" applyBorder="1" applyAlignment="1">
      <alignment horizontal="right" vertical="center"/>
    </xf>
    <xf numFmtId="0" fontId="23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168" fontId="1" fillId="0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center" vertical="center"/>
    </xf>
    <xf numFmtId="169" fontId="1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166" fontId="14" fillId="0" borderId="1" xfId="0" applyNumberFormat="1" applyFont="1" applyFill="1" applyBorder="1" applyAlignment="1"/>
    <xf numFmtId="0" fontId="16" fillId="0" borderId="5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168" fontId="19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/>
    <xf numFmtId="0" fontId="10" fillId="0" borderId="5" xfId="0" applyFont="1" applyFill="1" applyBorder="1" applyAlignment="1">
      <alignment vertical="center"/>
    </xf>
    <xf numFmtId="0" fontId="18" fillId="0" borderId="1" xfId="0" applyFont="1" applyFill="1" applyBorder="1" applyAlignment="1"/>
    <xf numFmtId="168" fontId="1" fillId="0" borderId="5" xfId="0" applyNumberFormat="1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/>
    </xf>
    <xf numFmtId="164" fontId="11" fillId="0" borderId="2" xfId="0" applyNumberFormat="1" applyFont="1" applyFill="1" applyBorder="1" applyAlignment="1">
      <alignment horizontal="right"/>
    </xf>
    <xf numFmtId="164" fontId="11" fillId="0" borderId="3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center" vertical="center"/>
    </xf>
    <xf numFmtId="166" fontId="14" fillId="0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/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/>
    <xf numFmtId="2" fontId="14" fillId="0" borderId="1" xfId="0" applyNumberFormat="1" applyFont="1" applyFill="1" applyBorder="1" applyAlignment="1"/>
    <xf numFmtId="0" fontId="22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wrapText="1"/>
    </xf>
    <xf numFmtId="0" fontId="18" fillId="0" borderId="1" xfId="0" applyFont="1" applyFill="1" applyBorder="1" applyAlignment="1">
      <alignment horizontal="right"/>
    </xf>
    <xf numFmtId="168" fontId="1" fillId="0" borderId="5" xfId="0" applyNumberFormat="1" applyFont="1" applyFill="1" applyBorder="1" applyAlignment="1">
      <alignment horizontal="right" vertical="center"/>
    </xf>
    <xf numFmtId="0" fontId="18" fillId="0" borderId="5" xfId="0" applyFont="1" applyFill="1" applyBorder="1" applyAlignment="1">
      <alignment horizontal="right" vertical="center"/>
    </xf>
    <xf numFmtId="0" fontId="22" fillId="0" borderId="1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0</xdr:row>
      <xdr:rowOff>95250</xdr:rowOff>
    </xdr:from>
    <xdr:to>
      <xdr:col>8</xdr:col>
      <xdr:colOff>733425</xdr:colOff>
      <xdr:row>1</xdr:row>
      <xdr:rowOff>180975</xdr:rowOff>
    </xdr:to>
    <xdr:sp macro="" textlink="">
      <xdr:nvSpPr>
        <xdr:cNvPr id="4" name="TextBox 3"/>
        <xdr:cNvSpPr txBox="1"/>
      </xdr:nvSpPr>
      <xdr:spPr>
        <a:xfrm>
          <a:off x="809625" y="95250"/>
          <a:ext cx="8324850" cy="27622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 i="0" u="dbl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ENERGY RECEIVED AT THE JORHAT CIRCLE FOR THE MONTH Of</a:t>
          </a:r>
          <a:r>
            <a:rPr lang="en-IN" sz="1200" b="0" i="0" u="dbl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June</a:t>
          </a:r>
          <a:r>
            <a:rPr lang="en-IN" sz="1100" b="0" i="0" u="dbl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IN" sz="1100" b="0" i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IN" sz="1200" b="0" i="0" u="dbl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2026 </a:t>
          </a:r>
          <a:r>
            <a:rPr lang="en-IN" sz="1200" b="0" i="0" u="dbl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 </a:t>
          </a:r>
          <a:r>
            <a:rPr lang="en-IN" sz="1200" b="0" i="0" u="dbl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be </a:t>
          </a:r>
          <a:r>
            <a:rPr lang="en-IN" sz="1200" b="0" i="0" u="dbl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</a:t>
          </a:r>
          <a:r>
            <a:rPr lang="en-IN" sz="1200" b="0" i="0" u="dbl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illed in July </a:t>
          </a:r>
          <a:r>
            <a:rPr lang="en-IN" sz="1200" b="0" i="0" u="dbl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2026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200026</xdr:colOff>
      <xdr:row>0</xdr:row>
      <xdr:rowOff>104775</xdr:rowOff>
    </xdr:from>
    <xdr:to>
      <xdr:col>1</xdr:col>
      <xdr:colOff>142876</xdr:colOff>
      <xdr:row>3</xdr:row>
      <xdr:rowOff>57150</xdr:rowOff>
    </xdr:to>
    <xdr:pic>
      <xdr:nvPicPr>
        <xdr:cNvPr id="3" name="Picture 2" descr="L:\laskar\tahseen\Logo\laedcl_logo.jpg"/>
        <xdr:cNvPicPr/>
      </xdr:nvPicPr>
      <xdr:blipFill>
        <a:blip xmlns:r="http://schemas.openxmlformats.org/officeDocument/2006/relationships" r:embed="rId1" cstate="print">
          <a:lum bright="-10000" contrast="11000"/>
        </a:blip>
        <a:srcRect/>
        <a:stretch>
          <a:fillRect/>
        </a:stretch>
      </xdr:blipFill>
      <xdr:spPr bwMode="auto">
        <a:xfrm>
          <a:off x="200026" y="104775"/>
          <a:ext cx="590550" cy="581025"/>
        </a:xfrm>
        <a:prstGeom prst="rect">
          <a:avLst/>
        </a:prstGeom>
        <a:noFill/>
        <a:ln w="25400">
          <a:solidFill>
            <a:schemeClr val="tx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L58"/>
  <sheetViews>
    <sheetView tabSelected="1" workbookViewId="0">
      <selection sqref="A1:XFD1048576"/>
    </sheetView>
  </sheetViews>
  <sheetFormatPr defaultColWidth="9.140625" defaultRowHeight="16.5"/>
  <cols>
    <col min="1" max="1" width="7" style="12" customWidth="1"/>
    <col min="2" max="2" width="41.5703125" style="12" customWidth="1"/>
    <col min="3" max="3" width="15.5703125" style="38" customWidth="1"/>
    <col min="4" max="4" width="13.7109375" style="17" bestFit="1" customWidth="1"/>
    <col min="5" max="5" width="12.7109375" style="35" customWidth="1"/>
    <col min="6" max="6" width="14" style="17" customWidth="1"/>
    <col min="7" max="7" width="9.140625" style="19"/>
    <col min="8" max="8" width="13.28515625" style="19" bestFit="1" customWidth="1"/>
    <col min="9" max="9" width="33.5703125" style="12" customWidth="1"/>
    <col min="10" max="16384" width="9.140625" style="12"/>
  </cols>
  <sheetData>
    <row r="5" spans="1:9" s="6" customFormat="1" ht="28.5">
      <c r="A5" s="1" t="s">
        <v>0</v>
      </c>
      <c r="B5" s="2" t="s">
        <v>1</v>
      </c>
      <c r="C5" s="39" t="s">
        <v>2</v>
      </c>
      <c r="D5" s="3" t="s">
        <v>4</v>
      </c>
      <c r="E5" s="63" t="s">
        <v>3</v>
      </c>
      <c r="F5" s="4" t="s">
        <v>5</v>
      </c>
      <c r="G5" s="2" t="s">
        <v>6</v>
      </c>
      <c r="H5" s="5" t="s">
        <v>7</v>
      </c>
      <c r="I5" s="2" t="s">
        <v>8</v>
      </c>
    </row>
    <row r="6" spans="1:9" ht="18.75" customHeight="1">
      <c r="A6" s="7" t="s">
        <v>9</v>
      </c>
      <c r="B6" s="7" t="s">
        <v>10</v>
      </c>
      <c r="C6" s="14"/>
      <c r="D6" s="8"/>
      <c r="E6" s="9"/>
      <c r="F6" s="8"/>
      <c r="G6" s="10"/>
      <c r="H6" s="10"/>
      <c r="I6" s="11"/>
    </row>
    <row r="7" spans="1:9" s="47" customFormat="1">
      <c r="A7" s="13">
        <v>1</v>
      </c>
      <c r="B7" s="46" t="s">
        <v>19</v>
      </c>
      <c r="C7" s="14" t="s">
        <v>64</v>
      </c>
      <c r="D7" s="65">
        <v>1415.51</v>
      </c>
      <c r="E7" s="65">
        <v>1467.63</v>
      </c>
      <c r="F7" s="8">
        <f t="shared" ref="F7:F15" si="0">E7-D7</f>
        <v>52.120000000000118</v>
      </c>
      <c r="G7" s="13">
        <v>120</v>
      </c>
      <c r="H7" s="61">
        <f t="shared" ref="H7:H12" si="1">F7*G7/1000</f>
        <v>6.2544000000000146</v>
      </c>
      <c r="I7" s="11"/>
    </row>
    <row r="8" spans="1:9" s="47" customFormat="1">
      <c r="A8" s="13">
        <v>2</v>
      </c>
      <c r="B8" s="48" t="s">
        <v>72</v>
      </c>
      <c r="C8" s="14" t="s">
        <v>65</v>
      </c>
      <c r="D8" s="9">
        <v>319.83999999999997</v>
      </c>
      <c r="E8" s="9">
        <v>323.06</v>
      </c>
      <c r="F8" s="36">
        <f t="shared" si="0"/>
        <v>3.2200000000000273</v>
      </c>
      <c r="G8" s="13">
        <v>60</v>
      </c>
      <c r="H8" s="15">
        <f t="shared" si="1"/>
        <v>0.19320000000000165</v>
      </c>
      <c r="I8" s="11"/>
    </row>
    <row r="9" spans="1:9" s="47" customFormat="1">
      <c r="A9" s="13">
        <v>3</v>
      </c>
      <c r="B9" s="46" t="s">
        <v>73</v>
      </c>
      <c r="C9" s="14" t="s">
        <v>66</v>
      </c>
      <c r="D9" s="49">
        <v>13.82</v>
      </c>
      <c r="E9" s="49">
        <v>13.82</v>
      </c>
      <c r="F9" s="8">
        <f t="shared" si="0"/>
        <v>0</v>
      </c>
      <c r="G9" s="13">
        <v>60</v>
      </c>
      <c r="H9" s="15">
        <f t="shared" si="1"/>
        <v>0</v>
      </c>
      <c r="I9" s="11"/>
    </row>
    <row r="10" spans="1:9" s="47" customFormat="1">
      <c r="A10" s="13">
        <v>4</v>
      </c>
      <c r="B10" s="46" t="s">
        <v>82</v>
      </c>
      <c r="C10" s="14">
        <v>21102176</v>
      </c>
      <c r="D10" s="49">
        <v>28.32</v>
      </c>
      <c r="E10" s="36">
        <v>30.98</v>
      </c>
      <c r="F10" s="8">
        <f t="shared" si="0"/>
        <v>2.66</v>
      </c>
      <c r="G10" s="13">
        <v>15</v>
      </c>
      <c r="H10" s="15">
        <f t="shared" si="1"/>
        <v>3.9900000000000005E-2</v>
      </c>
      <c r="I10" s="11"/>
    </row>
    <row r="11" spans="1:9" s="41" customFormat="1">
      <c r="A11" s="13">
        <v>5</v>
      </c>
      <c r="B11" s="9" t="s">
        <v>74</v>
      </c>
      <c r="C11" s="14" t="s">
        <v>68</v>
      </c>
      <c r="D11" s="49">
        <v>365.2</v>
      </c>
      <c r="E11" s="49">
        <v>379.87</v>
      </c>
      <c r="F11" s="49">
        <f t="shared" si="0"/>
        <v>14.670000000000016</v>
      </c>
      <c r="G11" s="13">
        <v>60</v>
      </c>
      <c r="H11" s="61">
        <f t="shared" si="1"/>
        <v>0.88020000000000098</v>
      </c>
      <c r="I11" s="11"/>
    </row>
    <row r="12" spans="1:9" s="41" customFormat="1">
      <c r="A12" s="13">
        <v>6</v>
      </c>
      <c r="B12" s="50" t="s">
        <v>75</v>
      </c>
      <c r="C12" s="14" t="s">
        <v>67</v>
      </c>
      <c r="D12" s="49">
        <v>1155.21</v>
      </c>
      <c r="E12" s="49">
        <v>1195.18</v>
      </c>
      <c r="F12" s="36">
        <f t="shared" si="0"/>
        <v>39.970000000000027</v>
      </c>
      <c r="G12" s="13">
        <v>120</v>
      </c>
      <c r="H12" s="61">
        <f t="shared" si="1"/>
        <v>4.7964000000000029</v>
      </c>
      <c r="I12" s="11"/>
    </row>
    <row r="13" spans="1:9" s="16" customFormat="1" ht="16.5" customHeight="1">
      <c r="A13" s="13">
        <v>7</v>
      </c>
      <c r="B13" s="42" t="s">
        <v>40</v>
      </c>
      <c r="C13" s="14" t="s">
        <v>51</v>
      </c>
      <c r="D13" s="85">
        <v>650.61900000000003</v>
      </c>
      <c r="E13" s="85">
        <v>673.83299999999997</v>
      </c>
      <c r="F13" s="51">
        <f t="shared" si="0"/>
        <v>23.213999999999942</v>
      </c>
      <c r="G13" s="10">
        <v>120</v>
      </c>
      <c r="H13" s="15">
        <f>(F13*G13)/1000</f>
        <v>2.7856799999999931</v>
      </c>
      <c r="I13" s="11"/>
    </row>
    <row r="14" spans="1:9" s="16" customFormat="1" ht="16.5" customHeight="1">
      <c r="A14" s="13">
        <v>8</v>
      </c>
      <c r="B14" s="42" t="s">
        <v>42</v>
      </c>
      <c r="C14" s="14" t="s">
        <v>52</v>
      </c>
      <c r="D14" s="85">
        <v>110.53400000000001</v>
      </c>
      <c r="E14" s="85">
        <v>114.11499999999999</v>
      </c>
      <c r="F14" s="51">
        <f t="shared" si="0"/>
        <v>3.5809999999999889</v>
      </c>
      <c r="G14" s="10">
        <v>120</v>
      </c>
      <c r="H14" s="15">
        <f>(G14*F14)/1000</f>
        <v>0.42971999999999866</v>
      </c>
      <c r="I14" s="86"/>
    </row>
    <row r="15" spans="1:9" s="16" customFormat="1" ht="30" customHeight="1">
      <c r="A15" s="13">
        <v>9</v>
      </c>
      <c r="B15" s="9" t="s">
        <v>53</v>
      </c>
      <c r="C15" s="14" t="s">
        <v>54</v>
      </c>
      <c r="D15" s="85">
        <v>661.14499999999998</v>
      </c>
      <c r="E15" s="85">
        <v>681.83799999999997</v>
      </c>
      <c r="F15" s="51">
        <f t="shared" si="0"/>
        <v>20.692999999999984</v>
      </c>
      <c r="G15" s="13">
        <v>120</v>
      </c>
      <c r="H15" s="61">
        <f>(G15*F15)/1000</f>
        <v>2.483159999999998</v>
      </c>
      <c r="I15" s="87"/>
    </row>
    <row r="16" spans="1:9" s="16" customFormat="1" ht="23.25" customHeight="1">
      <c r="A16" s="13">
        <v>10</v>
      </c>
      <c r="B16" s="42" t="s">
        <v>76</v>
      </c>
      <c r="C16" s="14" t="s">
        <v>58</v>
      </c>
      <c r="D16" s="85">
        <v>981.17</v>
      </c>
      <c r="E16" s="85">
        <v>1020.542</v>
      </c>
      <c r="F16" s="8">
        <f t="shared" ref="F16:F30" si="2">E16-D16</f>
        <v>39.372000000000071</v>
      </c>
      <c r="G16" s="10">
        <v>120</v>
      </c>
      <c r="H16" s="15">
        <f t="shared" ref="H16:H25" si="3">F16*G16/1000</f>
        <v>4.7246400000000088</v>
      </c>
      <c r="I16" s="11"/>
    </row>
    <row r="17" spans="1:9" s="16" customFormat="1" ht="23.25" customHeight="1">
      <c r="A17" s="13">
        <v>11</v>
      </c>
      <c r="B17" s="42" t="s">
        <v>77</v>
      </c>
      <c r="C17" s="14" t="s">
        <v>59</v>
      </c>
      <c r="D17" s="85">
        <v>990.64</v>
      </c>
      <c r="E17" s="85">
        <v>1012.303</v>
      </c>
      <c r="F17" s="8">
        <f t="shared" si="2"/>
        <v>21.663000000000011</v>
      </c>
      <c r="G17" s="10">
        <v>120</v>
      </c>
      <c r="H17" s="15">
        <f t="shared" si="3"/>
        <v>2.5995600000000012</v>
      </c>
      <c r="I17" s="11"/>
    </row>
    <row r="18" spans="1:9" s="16" customFormat="1" ht="23.25" customHeight="1">
      <c r="A18" s="13">
        <v>12</v>
      </c>
      <c r="B18" s="42" t="s">
        <v>78</v>
      </c>
      <c r="C18" s="14" t="s">
        <v>61</v>
      </c>
      <c r="D18" s="85">
        <v>700.82</v>
      </c>
      <c r="E18" s="85">
        <v>722.87300000000005</v>
      </c>
      <c r="F18" s="8">
        <f t="shared" si="2"/>
        <v>22.052999999999997</v>
      </c>
      <c r="G18" s="10">
        <v>180</v>
      </c>
      <c r="H18" s="15">
        <f t="shared" ref="H18" si="4">F18*G18/1000</f>
        <v>3.9695399999999994</v>
      </c>
      <c r="I18" s="11"/>
    </row>
    <row r="19" spans="1:9" s="16" customFormat="1" ht="23.25" customHeight="1">
      <c r="A19" s="13">
        <v>13</v>
      </c>
      <c r="B19" s="42" t="s">
        <v>79</v>
      </c>
      <c r="C19" s="88" t="s">
        <v>60</v>
      </c>
      <c r="D19" s="85">
        <v>365.07</v>
      </c>
      <c r="E19" s="85">
        <v>375.58300000000003</v>
      </c>
      <c r="F19" s="36">
        <f t="shared" si="2"/>
        <v>10.513000000000034</v>
      </c>
      <c r="G19" s="10">
        <v>180</v>
      </c>
      <c r="H19" s="15">
        <f t="shared" si="3"/>
        <v>1.8923400000000061</v>
      </c>
      <c r="I19" s="11"/>
    </row>
    <row r="20" spans="1:9" s="41" customFormat="1" ht="23.25" customHeight="1">
      <c r="A20" s="13">
        <v>14</v>
      </c>
      <c r="B20" s="42" t="s">
        <v>80</v>
      </c>
      <c r="C20" s="88" t="s">
        <v>62</v>
      </c>
      <c r="D20" s="85">
        <v>693.13</v>
      </c>
      <c r="E20" s="85">
        <v>725.86800000000005</v>
      </c>
      <c r="F20" s="8">
        <f t="shared" si="2"/>
        <v>32.738000000000056</v>
      </c>
      <c r="G20" s="13">
        <v>120</v>
      </c>
      <c r="H20" s="61">
        <f>F20*G20/1000</f>
        <v>3.9285600000000067</v>
      </c>
      <c r="I20" s="11"/>
    </row>
    <row r="21" spans="1:9" s="41" customFormat="1" ht="18.75" customHeight="1">
      <c r="A21" s="13">
        <v>15</v>
      </c>
      <c r="B21" s="42" t="s">
        <v>81</v>
      </c>
      <c r="C21" s="88" t="s">
        <v>63</v>
      </c>
      <c r="D21" s="89">
        <v>364.86</v>
      </c>
      <c r="E21" s="89">
        <v>386.23399999999998</v>
      </c>
      <c r="F21" s="8">
        <f t="shared" si="2"/>
        <v>21.373999999999967</v>
      </c>
      <c r="G21" s="13">
        <v>90</v>
      </c>
      <c r="H21" s="61">
        <f>F21*G21/1000</f>
        <v>1.923659999999997</v>
      </c>
      <c r="I21" s="11"/>
    </row>
    <row r="22" spans="1:9" s="41" customFormat="1" ht="18.75" customHeight="1">
      <c r="A22" s="13">
        <v>16</v>
      </c>
      <c r="B22" s="42" t="s">
        <v>92</v>
      </c>
      <c r="C22" s="52" t="s">
        <v>93</v>
      </c>
      <c r="D22" s="89">
        <v>6702.7</v>
      </c>
      <c r="E22" s="89">
        <v>7865.5</v>
      </c>
      <c r="F22" s="8">
        <f t="shared" si="2"/>
        <v>1162.8000000000002</v>
      </c>
      <c r="G22" s="13">
        <v>2</v>
      </c>
      <c r="H22" s="61">
        <f>F22*G22/1000</f>
        <v>2.3256000000000006</v>
      </c>
      <c r="I22" s="11"/>
    </row>
    <row r="23" spans="1:9" s="16" customFormat="1" ht="16.5" customHeight="1">
      <c r="A23" s="13">
        <v>17</v>
      </c>
      <c r="B23" s="90" t="s">
        <v>70</v>
      </c>
      <c r="C23" s="14" t="s">
        <v>55</v>
      </c>
      <c r="D23" s="49">
        <v>1903.46</v>
      </c>
      <c r="E23" s="49">
        <v>1970.7560000000001</v>
      </c>
      <c r="F23" s="36">
        <f>E23-D23</f>
        <v>67.296000000000049</v>
      </c>
      <c r="G23" s="10">
        <v>30</v>
      </c>
      <c r="H23" s="15">
        <f>F23*G23/1000</f>
        <v>2.0188800000000016</v>
      </c>
      <c r="I23" s="11"/>
    </row>
    <row r="24" spans="1:9" s="16" customFormat="1" ht="16.5" customHeight="1">
      <c r="A24" s="13">
        <v>18</v>
      </c>
      <c r="B24" s="53" t="s">
        <v>20</v>
      </c>
      <c r="C24" s="14" t="s">
        <v>56</v>
      </c>
      <c r="D24" s="49">
        <v>1084.4000000000001</v>
      </c>
      <c r="E24" s="49">
        <v>1124.5999999999999</v>
      </c>
      <c r="F24" s="36">
        <f t="shared" si="2"/>
        <v>40.199999999999818</v>
      </c>
      <c r="G24" s="10">
        <v>30</v>
      </c>
      <c r="H24" s="15">
        <f t="shared" si="3"/>
        <v>1.2059999999999946</v>
      </c>
      <c r="I24" s="91"/>
    </row>
    <row r="25" spans="1:9" s="16" customFormat="1" ht="16.5" customHeight="1">
      <c r="A25" s="13">
        <v>19</v>
      </c>
      <c r="B25" s="53" t="s">
        <v>21</v>
      </c>
      <c r="C25" s="14" t="s">
        <v>57</v>
      </c>
      <c r="D25" s="49">
        <v>445</v>
      </c>
      <c r="E25" s="49">
        <v>460.96</v>
      </c>
      <c r="F25" s="36">
        <f t="shared" si="2"/>
        <v>15.95999999999998</v>
      </c>
      <c r="G25" s="10">
        <v>30</v>
      </c>
      <c r="H25" s="15">
        <f t="shared" si="3"/>
        <v>0.47879999999999939</v>
      </c>
      <c r="I25" s="91"/>
    </row>
    <row r="26" spans="1:9" s="16" customFormat="1" ht="16.5" customHeight="1">
      <c r="A26" s="13">
        <v>20</v>
      </c>
      <c r="B26" s="53" t="s">
        <v>27</v>
      </c>
      <c r="C26" s="14" t="s">
        <v>46</v>
      </c>
      <c r="D26" s="92">
        <v>1097.4100000000001</v>
      </c>
      <c r="E26" s="92">
        <v>1128.6600000000001</v>
      </c>
      <c r="F26" s="8">
        <f t="shared" si="2"/>
        <v>31.25</v>
      </c>
      <c r="G26" s="10">
        <v>120</v>
      </c>
      <c r="H26" s="15">
        <f>F26*G26/1000</f>
        <v>3.75</v>
      </c>
      <c r="I26" s="91"/>
    </row>
    <row r="27" spans="1:9" s="16" customFormat="1" ht="16.5" customHeight="1">
      <c r="A27" s="13">
        <v>21</v>
      </c>
      <c r="B27" s="53" t="s">
        <v>28</v>
      </c>
      <c r="C27" s="14" t="s">
        <v>47</v>
      </c>
      <c r="D27" s="93">
        <v>398.43</v>
      </c>
      <c r="E27" s="93">
        <v>413.77</v>
      </c>
      <c r="F27" s="8">
        <f t="shared" si="2"/>
        <v>15.339999999999975</v>
      </c>
      <c r="G27" s="10">
        <v>120</v>
      </c>
      <c r="H27" s="15">
        <f>F27*G27/1000</f>
        <v>1.8407999999999971</v>
      </c>
      <c r="I27" s="91"/>
    </row>
    <row r="28" spans="1:9" s="16" customFormat="1" ht="16.5" customHeight="1">
      <c r="A28" s="13">
        <v>22</v>
      </c>
      <c r="B28" s="53" t="s">
        <v>29</v>
      </c>
      <c r="C28" s="14" t="s">
        <v>48</v>
      </c>
      <c r="D28" s="93">
        <v>583.91999999999996</v>
      </c>
      <c r="E28" s="93">
        <v>604.58000000000004</v>
      </c>
      <c r="F28" s="8">
        <f t="shared" si="2"/>
        <v>20.660000000000082</v>
      </c>
      <c r="G28" s="10">
        <v>120</v>
      </c>
      <c r="H28" s="15">
        <f>F28*G28/1000</f>
        <v>2.4792000000000098</v>
      </c>
      <c r="I28" s="91"/>
    </row>
    <row r="29" spans="1:9" s="16" customFormat="1" ht="16.5" customHeight="1">
      <c r="A29" s="13">
        <v>23</v>
      </c>
      <c r="B29" s="53" t="s">
        <v>39</v>
      </c>
      <c r="C29" s="14" t="s">
        <v>49</v>
      </c>
      <c r="D29" s="93">
        <v>504.63</v>
      </c>
      <c r="E29" s="93">
        <v>519.95000000000005</v>
      </c>
      <c r="F29" s="8">
        <f t="shared" si="2"/>
        <v>15.32000000000005</v>
      </c>
      <c r="G29" s="10">
        <v>120</v>
      </c>
      <c r="H29" s="15">
        <f>F29*G29/1000</f>
        <v>1.838400000000006</v>
      </c>
      <c r="I29" s="91"/>
    </row>
    <row r="30" spans="1:9" s="16" customFormat="1" ht="16.5" customHeight="1">
      <c r="A30" s="13">
        <v>24</v>
      </c>
      <c r="B30" s="43" t="s">
        <v>41</v>
      </c>
      <c r="C30" s="14" t="s">
        <v>50</v>
      </c>
      <c r="D30" s="94">
        <v>260.42</v>
      </c>
      <c r="E30" s="94">
        <v>269.64</v>
      </c>
      <c r="F30" s="8">
        <f t="shared" si="2"/>
        <v>9.2199999999999704</v>
      </c>
      <c r="G30" s="10">
        <v>120</v>
      </c>
      <c r="H30" s="15">
        <f>F30*G30/1000</f>
        <v>1.1063999999999965</v>
      </c>
      <c r="I30" s="11"/>
    </row>
    <row r="31" spans="1:9">
      <c r="D31" s="18"/>
      <c r="E31" s="64"/>
    </row>
    <row r="32" spans="1:9" ht="18.75">
      <c r="A32" s="78" t="s">
        <v>11</v>
      </c>
      <c r="B32" s="79"/>
      <c r="C32" s="14"/>
      <c r="D32" s="9"/>
      <c r="E32" s="9"/>
      <c r="F32" s="8"/>
      <c r="G32" s="10"/>
      <c r="H32" s="20">
        <f>SUM(H7:H30)</f>
        <v>53.945040000000034</v>
      </c>
      <c r="I32" s="11"/>
    </row>
    <row r="33" spans="1:9" ht="27">
      <c r="A33" s="14" t="s">
        <v>13</v>
      </c>
      <c r="B33" s="21" t="s">
        <v>12</v>
      </c>
      <c r="C33" s="14"/>
      <c r="D33" s="9"/>
      <c r="E33" s="9"/>
      <c r="F33" s="8"/>
      <c r="G33" s="10"/>
      <c r="H33" s="10"/>
      <c r="I33" s="11"/>
    </row>
    <row r="34" spans="1:9" s="41" customFormat="1" ht="17.25">
      <c r="A34" s="44"/>
      <c r="B34" s="53" t="s">
        <v>22</v>
      </c>
      <c r="C34" s="14">
        <v>8876853</v>
      </c>
      <c r="D34" s="66">
        <v>9.0564999999999998</v>
      </c>
      <c r="E34" s="95">
        <v>11.5275</v>
      </c>
      <c r="F34" s="36">
        <f>E34-D34</f>
        <v>2.4710000000000001</v>
      </c>
      <c r="G34" s="13">
        <v>24</v>
      </c>
      <c r="H34" s="15">
        <f>F34*G34/1000</f>
        <v>5.9304000000000003E-2</v>
      </c>
      <c r="I34" s="54" t="s">
        <v>85</v>
      </c>
    </row>
    <row r="35" spans="1:9" s="16" customFormat="1" ht="15" customHeight="1">
      <c r="A35" s="55"/>
      <c r="B35" s="53" t="s">
        <v>23</v>
      </c>
      <c r="C35" s="52">
        <v>8876696</v>
      </c>
      <c r="D35" s="67">
        <v>0.747</v>
      </c>
      <c r="E35" s="96">
        <v>2.222</v>
      </c>
      <c r="F35" s="36">
        <f t="shared" ref="F35" si="5">E35-D35</f>
        <v>1.4750000000000001</v>
      </c>
      <c r="G35" s="13">
        <v>12</v>
      </c>
      <c r="H35" s="15">
        <f>F35*G35/1000</f>
        <v>1.7700000000000004E-2</v>
      </c>
      <c r="I35" s="54" t="s">
        <v>85</v>
      </c>
    </row>
    <row r="36" spans="1:9">
      <c r="A36" s="13">
        <v>3</v>
      </c>
      <c r="B36" s="37" t="s">
        <v>24</v>
      </c>
      <c r="C36" s="14">
        <v>20090467</v>
      </c>
      <c r="D36" s="74">
        <v>7.68</v>
      </c>
      <c r="E36" s="75">
        <v>7.68</v>
      </c>
      <c r="F36" s="36">
        <f t="shared" ref="F36:F42" si="6">E36-D36</f>
        <v>0</v>
      </c>
      <c r="G36" s="10">
        <v>2</v>
      </c>
      <c r="H36" s="15">
        <v>1.4999999999999999E-2</v>
      </c>
      <c r="I36" s="11" t="s">
        <v>69</v>
      </c>
    </row>
    <row r="37" spans="1:9">
      <c r="A37" s="13">
        <v>4</v>
      </c>
      <c r="B37" s="22" t="s">
        <v>35</v>
      </c>
      <c r="C37" s="14" t="s">
        <v>37</v>
      </c>
      <c r="D37" s="9">
        <v>13414.73</v>
      </c>
      <c r="E37" s="9">
        <v>13414.73</v>
      </c>
      <c r="F37" s="8">
        <f t="shared" si="6"/>
        <v>0</v>
      </c>
      <c r="G37" s="10">
        <v>0.5</v>
      </c>
      <c r="H37" s="15">
        <f t="shared" ref="H37:H42" si="7">F37*G37/1000</f>
        <v>0</v>
      </c>
      <c r="I37" s="11"/>
    </row>
    <row r="38" spans="1:9">
      <c r="A38" s="13">
        <v>5</v>
      </c>
      <c r="B38" s="23" t="s">
        <v>36</v>
      </c>
      <c r="C38" s="14" t="s">
        <v>38</v>
      </c>
      <c r="D38" s="9">
        <v>5293.16</v>
      </c>
      <c r="E38" s="9">
        <v>5293.16</v>
      </c>
      <c r="F38" s="8">
        <f t="shared" si="6"/>
        <v>0</v>
      </c>
      <c r="G38" s="10">
        <v>0.5</v>
      </c>
      <c r="H38" s="15">
        <f t="shared" si="7"/>
        <v>0</v>
      </c>
      <c r="I38" s="11"/>
    </row>
    <row r="39" spans="1:9">
      <c r="A39" s="13">
        <v>6</v>
      </c>
      <c r="B39" s="24" t="s">
        <v>43</v>
      </c>
      <c r="C39" s="14">
        <v>20112442</v>
      </c>
      <c r="D39" s="9">
        <v>52.69</v>
      </c>
      <c r="E39" s="9">
        <v>52.69</v>
      </c>
      <c r="F39" s="8">
        <f t="shared" si="6"/>
        <v>0</v>
      </c>
      <c r="G39" s="10">
        <v>2</v>
      </c>
      <c r="H39" s="15">
        <f t="shared" si="7"/>
        <v>0</v>
      </c>
      <c r="I39" s="11"/>
    </row>
    <row r="40" spans="1:9" s="41" customFormat="1">
      <c r="A40" s="55"/>
      <c r="B40" s="56" t="s">
        <v>45</v>
      </c>
      <c r="C40" s="57">
        <v>8876722</v>
      </c>
      <c r="D40" s="9">
        <v>126.209</v>
      </c>
      <c r="E40" s="9">
        <v>172.60599999999999</v>
      </c>
      <c r="F40" s="51">
        <f>E40-D40</f>
        <v>46.396999999999991</v>
      </c>
      <c r="G40" s="13">
        <v>3</v>
      </c>
      <c r="H40" s="61">
        <f>F40*G40/1000</f>
        <v>0.13919099999999998</v>
      </c>
      <c r="I40" s="43" t="s">
        <v>88</v>
      </c>
    </row>
    <row r="41" spans="1:9" s="41" customFormat="1">
      <c r="A41" s="55">
        <v>8</v>
      </c>
      <c r="B41" s="56" t="s">
        <v>83</v>
      </c>
      <c r="C41" s="14">
        <v>8876928</v>
      </c>
      <c r="D41" s="68">
        <v>590.81949999999995</v>
      </c>
      <c r="E41" s="12">
        <v>646.32299999999998</v>
      </c>
      <c r="F41" s="51">
        <f t="shared" si="6"/>
        <v>55.503500000000031</v>
      </c>
      <c r="G41" s="13">
        <v>24</v>
      </c>
      <c r="H41" s="61">
        <f t="shared" si="7"/>
        <v>1.3320840000000007</v>
      </c>
      <c r="I41" s="43"/>
    </row>
    <row r="42" spans="1:9" s="41" customFormat="1">
      <c r="A42" s="55">
        <v>9</v>
      </c>
      <c r="B42" s="69" t="s">
        <v>33</v>
      </c>
      <c r="C42" s="58">
        <v>8876931</v>
      </c>
      <c r="D42" s="70">
        <v>21.7775</v>
      </c>
      <c r="E42" s="97">
        <v>24.068999999999999</v>
      </c>
      <c r="F42" s="51">
        <f t="shared" si="6"/>
        <v>2.2914999999999992</v>
      </c>
      <c r="G42" s="13">
        <v>6</v>
      </c>
      <c r="H42" s="61">
        <f t="shared" si="7"/>
        <v>1.3748999999999996E-2</v>
      </c>
      <c r="I42" s="43" t="s">
        <v>89</v>
      </c>
    </row>
    <row r="43" spans="1:9" s="16" customFormat="1">
      <c r="A43" s="13"/>
      <c r="B43" s="23"/>
      <c r="C43" s="14"/>
      <c r="D43" s="25"/>
      <c r="E43" s="25"/>
      <c r="F43" s="8"/>
      <c r="G43" s="10"/>
      <c r="H43" s="15"/>
      <c r="I43" s="11"/>
    </row>
    <row r="44" spans="1:9">
      <c r="A44" s="13"/>
      <c r="B44" s="26" t="s">
        <v>25</v>
      </c>
      <c r="C44" s="14"/>
      <c r="D44" s="9"/>
      <c r="E44" s="9"/>
      <c r="F44" s="8"/>
      <c r="G44" s="10"/>
      <c r="H44" s="27">
        <f>SUM(H34:H42)</f>
        <v>1.5770280000000008</v>
      </c>
    </row>
    <row r="45" spans="1:9" ht="27">
      <c r="A45" s="14" t="s">
        <v>14</v>
      </c>
      <c r="B45" s="21" t="s">
        <v>15</v>
      </c>
      <c r="C45" s="14"/>
      <c r="D45" s="9"/>
      <c r="E45" s="9"/>
      <c r="F45" s="8"/>
      <c r="G45" s="10"/>
      <c r="H45" s="10"/>
      <c r="I45" s="11"/>
    </row>
    <row r="46" spans="1:9" s="41" customFormat="1" ht="33">
      <c r="A46" s="44">
        <v>1</v>
      </c>
      <c r="B46" s="42" t="s">
        <v>84</v>
      </c>
      <c r="C46" s="14">
        <v>8876908</v>
      </c>
      <c r="D46" s="67">
        <v>1.4375</v>
      </c>
      <c r="E46" s="67">
        <v>1.4375</v>
      </c>
      <c r="F46" s="36">
        <f t="shared" ref="F46" si="8">E46-D46</f>
        <v>0</v>
      </c>
      <c r="G46" s="13">
        <v>24</v>
      </c>
      <c r="H46" s="61">
        <f t="shared" ref="H46:H49" si="9">F46*G46/1000</f>
        <v>0</v>
      </c>
      <c r="I46" s="43" t="s">
        <v>91</v>
      </c>
    </row>
    <row r="47" spans="1:9" s="16" customFormat="1">
      <c r="A47" s="55">
        <v>2</v>
      </c>
      <c r="B47" s="56" t="s">
        <v>83</v>
      </c>
      <c r="C47" s="14">
        <v>8876928</v>
      </c>
      <c r="D47" s="71">
        <v>22.67</v>
      </c>
      <c r="E47" s="98">
        <v>23.802</v>
      </c>
      <c r="F47" s="36">
        <f>E47-D47</f>
        <v>1.1319999999999979</v>
      </c>
      <c r="G47" s="13">
        <v>24</v>
      </c>
      <c r="H47" s="61">
        <f t="shared" si="9"/>
        <v>2.7167999999999949E-2</v>
      </c>
      <c r="I47" s="59" t="s">
        <v>87</v>
      </c>
    </row>
    <row r="48" spans="1:9" s="41" customFormat="1" ht="33">
      <c r="A48" s="55">
        <v>3</v>
      </c>
      <c r="B48" s="53" t="s">
        <v>33</v>
      </c>
      <c r="C48" s="58">
        <v>8876931</v>
      </c>
      <c r="D48" s="72">
        <v>60.896999999999998</v>
      </c>
      <c r="E48" s="99">
        <v>63.759</v>
      </c>
      <c r="F48" s="36">
        <f>E48-D48</f>
        <v>2.8620000000000019</v>
      </c>
      <c r="G48" s="13">
        <v>6</v>
      </c>
      <c r="H48" s="61">
        <f t="shared" si="9"/>
        <v>1.717200000000001E-2</v>
      </c>
      <c r="I48" s="43" t="s">
        <v>90</v>
      </c>
    </row>
    <row r="49" spans="1:12" s="16" customFormat="1" ht="17.25">
      <c r="A49" s="44"/>
      <c r="B49" s="53" t="s">
        <v>34</v>
      </c>
      <c r="C49" s="14">
        <v>8876853</v>
      </c>
      <c r="D49" s="66">
        <v>90.165000000000006</v>
      </c>
      <c r="E49" s="100">
        <v>97.146000000000001</v>
      </c>
      <c r="F49" s="60">
        <f t="shared" ref="F49" si="10">E49-D49</f>
        <v>6.9809999999999945</v>
      </c>
      <c r="G49" s="10">
        <v>24</v>
      </c>
      <c r="H49" s="15">
        <f t="shared" si="9"/>
        <v>0.16754399999999986</v>
      </c>
      <c r="I49" s="11" t="s">
        <v>86</v>
      </c>
    </row>
    <row r="50" spans="1:12" s="16" customFormat="1" ht="33">
      <c r="A50" s="13">
        <v>5</v>
      </c>
      <c r="B50" s="26" t="s">
        <v>30</v>
      </c>
      <c r="C50" s="14"/>
      <c r="D50" s="8"/>
      <c r="E50" s="9"/>
      <c r="F50" s="8"/>
      <c r="G50" s="10"/>
      <c r="H50" s="62">
        <v>0</v>
      </c>
      <c r="I50" s="45" t="s">
        <v>71</v>
      </c>
    </row>
    <row r="51" spans="1:12">
      <c r="A51" s="10"/>
      <c r="B51" s="28" t="s">
        <v>26</v>
      </c>
      <c r="C51" s="14"/>
      <c r="D51" s="8"/>
      <c r="E51" s="9"/>
      <c r="F51" s="8"/>
      <c r="G51" s="10"/>
      <c r="H51" s="27">
        <f>SUM(H46:H50)</f>
        <v>0.21188399999999982</v>
      </c>
      <c r="I51" s="11"/>
      <c r="L51" s="29"/>
    </row>
    <row r="52" spans="1:12" ht="21" customHeight="1">
      <c r="A52" s="30" t="s">
        <v>44</v>
      </c>
      <c r="B52" s="31"/>
      <c r="C52" s="73"/>
      <c r="D52" s="31"/>
      <c r="E52" s="31"/>
      <c r="F52" s="31"/>
      <c r="G52" s="32"/>
      <c r="H52" s="40">
        <f>(H32+H44)-H51</f>
        <v>55.310184000000035</v>
      </c>
      <c r="I52" s="11"/>
    </row>
    <row r="54" spans="1:12">
      <c r="A54" s="80" t="s">
        <v>31</v>
      </c>
      <c r="B54" s="80"/>
      <c r="C54" s="80"/>
      <c r="D54" s="80"/>
      <c r="E54" s="81"/>
      <c r="F54" s="76">
        <f>H52</f>
        <v>55.310184000000035</v>
      </c>
      <c r="G54" s="77"/>
      <c r="H54" s="33" t="s">
        <v>32</v>
      </c>
    </row>
    <row r="56" spans="1:12" ht="28.5">
      <c r="A56" s="14" t="s">
        <v>17</v>
      </c>
      <c r="B56" s="82" t="s">
        <v>16</v>
      </c>
      <c r="C56" s="83"/>
      <c r="D56" s="83"/>
      <c r="E56" s="83"/>
      <c r="F56" s="83"/>
      <c r="G56" s="84"/>
      <c r="H56" s="5" t="s">
        <v>7</v>
      </c>
      <c r="I56" s="2" t="s">
        <v>8</v>
      </c>
    </row>
    <row r="57" spans="1:12">
      <c r="A57" s="11"/>
      <c r="B57" s="34" t="s">
        <v>18</v>
      </c>
      <c r="C57" s="14"/>
      <c r="D57" s="8"/>
      <c r="E57" s="9"/>
      <c r="F57" s="8"/>
      <c r="G57" s="10"/>
      <c r="H57" s="10"/>
      <c r="I57" s="11"/>
    </row>
    <row r="58" spans="1:12">
      <c r="C58" s="14"/>
      <c r="D58" s="8"/>
      <c r="E58" s="9"/>
      <c r="F58" s="8"/>
      <c r="G58" s="10"/>
      <c r="H58" s="10"/>
      <c r="I58" s="11"/>
    </row>
  </sheetData>
  <mergeCells count="4">
    <mergeCell ref="F54:G54"/>
    <mergeCell ref="A32:B32"/>
    <mergeCell ref="A54:E54"/>
    <mergeCell ref="B56:G56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 inj JEC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TNC</cp:lastModifiedBy>
  <cp:lastPrinted>2025-04-03T09:27:18Z</cp:lastPrinted>
  <dcterms:created xsi:type="dcterms:W3CDTF">2015-05-12T11:13:46Z</dcterms:created>
  <dcterms:modified xsi:type="dcterms:W3CDTF">2026-07-04T07:49:58Z</dcterms:modified>
</cp:coreProperties>
</file>