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it\"/>
    </mc:Choice>
  </mc:AlternateContent>
  <xr:revisionPtr revIDLastSave="0" documentId="13_ncr:1_{C96680D8-0748-4F5E-A230-AE4EF639C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orhat-ONE" sheetId="3" r:id="rId1"/>
    <sheet name="Teok^" sheetId="5" r:id="rId2"/>
    <sheet name="Jorhat-TWO" sheetId="4" r:id="rId3"/>
    <sheet name="Sheet1" sheetId="6" r:id="rId4"/>
  </sheets>
  <definedNames>
    <definedName name="_xlnm.Print_Area" localSheetId="0">'Jorhat-ONE'!$A$1:$M$35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5" l="1"/>
  <c r="H5" i="4" l="1"/>
  <c r="H8" i="4" l="1"/>
  <c r="I8" i="4" s="1"/>
  <c r="K8" i="4" s="1"/>
  <c r="L8" i="4" s="1"/>
  <c r="H11" i="3"/>
  <c r="I11" i="3" s="1"/>
  <c r="K11" i="3" s="1"/>
  <c r="L11" i="3" s="1"/>
  <c r="H7" i="4" l="1"/>
  <c r="I7" i="4" s="1"/>
  <c r="K7" i="4" s="1"/>
  <c r="L7" i="4" s="1"/>
  <c r="H24" i="3"/>
  <c r="J24" i="3" s="1"/>
  <c r="L24" i="3" s="1"/>
  <c r="L19" i="5" l="1"/>
  <c r="H10" i="3" l="1"/>
  <c r="I10" i="3" s="1"/>
  <c r="K10" i="3" s="1"/>
  <c r="L10" i="3" s="1"/>
  <c r="H10" i="4"/>
  <c r="I10" i="4" s="1"/>
  <c r="J10" i="4" s="1"/>
  <c r="K10" i="4" s="1"/>
  <c r="L10" i="4" s="1"/>
  <c r="H9" i="4"/>
  <c r="I9" i="4" s="1"/>
  <c r="K9" i="4" s="1"/>
  <c r="L9" i="4" s="1"/>
  <c r="H27" i="5"/>
  <c r="I27" i="5" s="1"/>
  <c r="L27" i="5" s="1"/>
  <c r="H9" i="5"/>
  <c r="J9" i="5" s="1"/>
  <c r="K9" i="5" s="1"/>
  <c r="L9" i="5" s="1"/>
  <c r="H12" i="3"/>
  <c r="J12" i="3" s="1"/>
  <c r="K12" i="3" s="1"/>
  <c r="L12" i="3" s="1"/>
  <c r="H6" i="4" l="1"/>
  <c r="I6" i="4" s="1"/>
  <c r="K6" i="4" s="1"/>
  <c r="L6" i="4" s="1"/>
  <c r="H19" i="3"/>
  <c r="J19" i="3" s="1"/>
  <c r="K19" i="3" s="1"/>
  <c r="L19" i="3" s="1"/>
  <c r="H21" i="3"/>
  <c r="I21" i="3" s="1"/>
  <c r="K21" i="3" s="1"/>
  <c r="L21" i="3" s="1"/>
  <c r="H20" i="3"/>
  <c r="J20" i="3" s="1"/>
  <c r="K20" i="3" s="1"/>
  <c r="L20" i="3" s="1"/>
  <c r="H23" i="3" l="1"/>
  <c r="J23" i="3" s="1"/>
  <c r="K23" i="3" s="1"/>
  <c r="L23" i="3" s="1"/>
  <c r="H22" i="3"/>
  <c r="I22" i="3" s="1"/>
  <c r="K22" i="3" s="1"/>
  <c r="L22" i="3" s="1"/>
  <c r="H28" i="5"/>
  <c r="J28" i="5" s="1"/>
  <c r="K28" i="5" s="1"/>
  <c r="L28" i="5" s="1"/>
  <c r="H17" i="5"/>
  <c r="I17" i="5" s="1"/>
  <c r="K17" i="5" s="1"/>
  <c r="L17" i="5" s="1"/>
  <c r="H15" i="4" l="1"/>
  <c r="K15" i="4" s="1"/>
  <c r="L15" i="4" s="1"/>
  <c r="I15" i="4" l="1"/>
  <c r="H28" i="3"/>
  <c r="J28" i="3" s="1"/>
  <c r="L28" i="3" s="1"/>
  <c r="H29" i="3"/>
  <c r="I29" i="3" s="1"/>
  <c r="K29" i="3" s="1"/>
  <c r="L29" i="3" s="1"/>
  <c r="H26" i="5"/>
  <c r="J26" i="5" s="1"/>
  <c r="L26" i="5" s="1"/>
  <c r="H25" i="5"/>
  <c r="I25" i="5" s="1"/>
  <c r="K25" i="5" s="1"/>
  <c r="L25" i="5" s="1"/>
  <c r="H23" i="5" l="1"/>
  <c r="I23" i="5" s="1"/>
  <c r="K23" i="5" s="1"/>
  <c r="H24" i="5"/>
  <c r="J24" i="5" s="1"/>
  <c r="L24" i="5" s="1"/>
  <c r="K24" i="5"/>
  <c r="H6" i="5"/>
  <c r="H19" i="4"/>
  <c r="I19" i="4" s="1"/>
  <c r="K19" i="4" s="1"/>
  <c r="L19" i="4" s="1"/>
  <c r="H11" i="5"/>
  <c r="J11" i="5" s="1"/>
  <c r="K11" i="5" s="1"/>
  <c r="L11" i="5" s="1"/>
  <c r="L23" i="5" l="1"/>
  <c r="H27" i="3"/>
  <c r="H26" i="3"/>
  <c r="J26" i="3" s="1"/>
  <c r="K26" i="3" s="1"/>
  <c r="L26" i="3" s="1"/>
  <c r="H10" i="5"/>
  <c r="I10" i="5" s="1"/>
  <c r="L10" i="5" s="1"/>
  <c r="H18" i="4"/>
  <c r="J18" i="4" s="1"/>
  <c r="K18" i="4" s="1"/>
  <c r="L18" i="4" s="1"/>
  <c r="I27" i="3" l="1"/>
  <c r="K27" i="3" s="1"/>
  <c r="L27" i="3" s="1"/>
  <c r="I6" i="5" l="1"/>
  <c r="H4" i="3"/>
  <c r="H16" i="4" l="1"/>
  <c r="I16" i="4" s="1"/>
  <c r="K16" i="4" s="1"/>
  <c r="L16" i="4" s="1"/>
  <c r="H14" i="4"/>
  <c r="H13" i="4"/>
  <c r="I13" i="4" s="1"/>
  <c r="K13" i="4" s="1"/>
  <c r="L13" i="4" s="1"/>
  <c r="I5" i="4"/>
  <c r="K5" i="4" s="1"/>
  <c r="L5" i="4" s="1"/>
  <c r="L11" i="4" s="1"/>
  <c r="H13" i="3"/>
  <c r="I13" i="3" s="1"/>
  <c r="K13" i="3" s="1"/>
  <c r="L13" i="3" s="1"/>
  <c r="I28" i="4" l="1"/>
  <c r="K14" i="4"/>
  <c r="L14" i="4" s="1"/>
  <c r="I14" i="4"/>
  <c r="H9" i="3"/>
  <c r="I9" i="3" s="1"/>
  <c r="H5" i="3" l="1"/>
  <c r="K9" i="3"/>
  <c r="L9" i="3" s="1"/>
  <c r="H8" i="3"/>
  <c r="I8" i="3" s="1"/>
  <c r="K8" i="3" s="1"/>
  <c r="L8" i="3" s="1"/>
  <c r="H7" i="3" l="1"/>
  <c r="I7" i="3" s="1"/>
  <c r="K7" i="3" s="1"/>
  <c r="L7" i="3" s="1"/>
  <c r="H6" i="3"/>
  <c r="I6" i="3" s="1"/>
  <c r="K6" i="3" s="1"/>
  <c r="L6" i="3" s="1"/>
  <c r="I5" i="3"/>
  <c r="K5" i="3" s="1"/>
  <c r="L5" i="3" s="1"/>
  <c r="I4" i="3"/>
  <c r="K4" i="3" s="1"/>
  <c r="L4" i="3" s="1"/>
  <c r="H25" i="4" l="1"/>
  <c r="I25" i="4" s="1"/>
  <c r="K25" i="4" s="1"/>
  <c r="L25" i="4" s="1"/>
  <c r="H24" i="4"/>
  <c r="I24" i="4" s="1"/>
  <c r="K24" i="4" s="1"/>
  <c r="L24" i="4" s="1"/>
  <c r="H8" i="5" l="1"/>
  <c r="I8" i="5" s="1"/>
  <c r="K8" i="5" s="1"/>
  <c r="L8" i="5" s="1"/>
  <c r="H16" i="5" l="1"/>
  <c r="I16" i="5" s="1"/>
  <c r="H22" i="5" l="1"/>
  <c r="I22" i="5" s="1"/>
  <c r="K22" i="5" s="1"/>
  <c r="L22" i="5" s="1"/>
  <c r="H7" i="5"/>
  <c r="I7" i="5" s="1"/>
  <c r="H18" i="3" l="1"/>
  <c r="I18" i="3" s="1"/>
  <c r="K18" i="3" s="1"/>
  <c r="L18" i="3" s="1"/>
  <c r="H17" i="3"/>
  <c r="I17" i="3" s="1"/>
  <c r="K17" i="3" s="1"/>
  <c r="L17" i="3" s="1"/>
  <c r="H16" i="3"/>
  <c r="I16" i="3" s="1"/>
  <c r="K16" i="3" s="1"/>
  <c r="L16" i="3" s="1"/>
  <c r="H15" i="3"/>
  <c r="I15" i="3" s="1"/>
  <c r="K15" i="3" s="1"/>
  <c r="L15" i="3" s="1"/>
  <c r="H14" i="3"/>
  <c r="I14" i="3" s="1"/>
  <c r="K14" i="3" s="1"/>
  <c r="L14" i="3" s="1"/>
  <c r="H20" i="4" l="1"/>
  <c r="I20" i="4" s="1"/>
  <c r="K20" i="4" s="1"/>
  <c r="L20" i="4" s="1"/>
  <c r="H25" i="3"/>
  <c r="J25" i="3" s="1"/>
  <c r="K25" i="3" s="1"/>
  <c r="L25" i="3" s="1"/>
  <c r="L31" i="3" s="1"/>
  <c r="H15" i="5" l="1"/>
  <c r="I15" i="5" s="1"/>
  <c r="K7" i="5"/>
  <c r="L7" i="5" s="1"/>
  <c r="K15" i="5" l="1"/>
  <c r="L15" i="5"/>
  <c r="H17" i="4" l="1"/>
  <c r="J17" i="4" l="1"/>
  <c r="K17" i="4" s="1"/>
  <c r="L17" i="4" s="1"/>
  <c r="K6" i="5"/>
  <c r="L6" i="5" s="1"/>
  <c r="H13" i="5" l="1"/>
  <c r="H26" i="4" l="1"/>
  <c r="I26" i="4" s="1"/>
  <c r="K26" i="4" s="1"/>
  <c r="L26" i="4" s="1"/>
  <c r="L27" i="4" s="1"/>
  <c r="I30" i="4" s="1"/>
  <c r="H21" i="4"/>
  <c r="J21" i="4" s="1"/>
  <c r="K21" i="4" s="1"/>
  <c r="L21" i="4" s="1"/>
  <c r="L22" i="4" s="1"/>
  <c r="I29" i="4" s="1"/>
  <c r="L31" i="4" l="1"/>
  <c r="G33" i="4" s="1"/>
  <c r="I13" i="5" l="1"/>
  <c r="K13" i="5" s="1"/>
  <c r="L13" i="5" s="1"/>
  <c r="H14" i="5"/>
  <c r="I14" i="5" s="1"/>
  <c r="L14" i="5" s="1"/>
  <c r="I35" i="3" l="1"/>
  <c r="G36" i="3" s="1"/>
  <c r="H5" i="5"/>
  <c r="L18" i="5" l="1"/>
  <c r="L29" i="5"/>
  <c r="L30" i="5" s="1"/>
  <c r="I32" i="5" l="1"/>
  <c r="H12" i="5"/>
  <c r="K14" i="5" l="1"/>
  <c r="I12" i="5"/>
  <c r="I5" i="5"/>
  <c r="K5" i="5" s="1"/>
  <c r="L5" i="5" s="1"/>
  <c r="L16" i="5" l="1"/>
  <c r="L20" i="5" s="1"/>
  <c r="I31" i="5" l="1"/>
  <c r="I33" i="5" s="1"/>
  <c r="F35" i="5" s="1"/>
  <c r="K16" i="5"/>
</calcChain>
</file>

<file path=xl/sharedStrings.xml><?xml version="1.0" encoding="utf-8"?>
<sst xmlns="http://schemas.openxmlformats.org/spreadsheetml/2006/main" count="200" uniqueCount="149">
  <si>
    <t>ENERGY INJECTION TO TEOK ELECTRICAL DIVISION</t>
  </si>
  <si>
    <t>S.No</t>
  </si>
  <si>
    <t>NAME of FEEDER</t>
  </si>
  <si>
    <t>VOLTAGE (In KV)</t>
  </si>
  <si>
    <t>METER No.</t>
  </si>
  <si>
    <t>MF</t>
  </si>
  <si>
    <t>DIFFERENCE</t>
  </si>
  <si>
    <t>NET ENERGY INJECTION (In MU)</t>
  </si>
  <si>
    <t>REMARKS</t>
  </si>
  <si>
    <t>A. TEOK ELECTRICAL SUB-DIVISION</t>
  </si>
  <si>
    <t>B. KAKOJAN ELECTRICAL SUB-DIVISION</t>
  </si>
  <si>
    <t>A. TITABAR ELECTRICAL SUB-DIVISION</t>
  </si>
  <si>
    <t>B. MARIANI ELECTRICAL SUB-DIVISION</t>
  </si>
  <si>
    <t>C. MAJULI ELECTRICAL SUB-DIVISION</t>
  </si>
  <si>
    <t>33 KV JORHAT-II</t>
  </si>
  <si>
    <t>33 KV MARIANI-BAGDHARA</t>
  </si>
  <si>
    <t>IMPORT Of ENERGY (In MWh)</t>
  </si>
  <si>
    <t>EXPORT Of ENERGY (In MWh)</t>
  </si>
  <si>
    <t>NET ENERGY INJECTION (In MWh)</t>
  </si>
  <si>
    <t>TOTAL:-</t>
  </si>
  <si>
    <t>11 KV Feeder No.8 BUDHBORIA  (From NAKACHARI S/S)</t>
  </si>
  <si>
    <t>33 KV PHULONI</t>
  </si>
  <si>
    <t>11 KV Feeder No.2</t>
  </si>
  <si>
    <t>11 KV feeder No.8 From NAKACHARI</t>
  </si>
  <si>
    <t>11 KV GABHORU (From AMGURI S/s)</t>
  </si>
  <si>
    <t xml:space="preserve">11 KV DHEKIAJULI/LICHUBARI </t>
  </si>
  <si>
    <t>Ex to KAKOJAN ESD</t>
  </si>
  <si>
    <t>Ex to TEOK ESD</t>
  </si>
  <si>
    <t>33 KV KAMARBONDHA-GOTONGA</t>
  </si>
  <si>
    <t>33 KV GARMUR-II (BONGAON)</t>
  </si>
  <si>
    <t>33 KV WOKHA-BORHOLLA</t>
  </si>
  <si>
    <t>33 KV DERGAON</t>
  </si>
  <si>
    <t>APC07963</t>
  </si>
  <si>
    <t>Imported From TEOK ESD</t>
  </si>
  <si>
    <t>MU</t>
  </si>
  <si>
    <t>TOTAL POWER (In MU) INJECTED INTO TEOK ELECTRICAL DIVISION:-</t>
  </si>
  <si>
    <t>TEOK=</t>
  </si>
  <si>
    <t>TOTAL ENERGY INJECTION IN JORHAT ELECTRICAL DIVISION-TWO:-</t>
  </si>
  <si>
    <t>X0324536</t>
  </si>
  <si>
    <t>11 KV GAURISAGAR-CHINTAMANIGARH</t>
  </si>
  <si>
    <t>11 KV GAURISAGAR-KHANAMUKH</t>
  </si>
  <si>
    <t>AS675622</t>
  </si>
  <si>
    <t>AS799650</t>
  </si>
  <si>
    <t xml:space="preserve">11 KV Feeder No.2 </t>
  </si>
  <si>
    <t>33 KV Khoomtai-Rangoliting</t>
  </si>
  <si>
    <t>Import from Khoomtai</t>
  </si>
  <si>
    <t>Export to Khoomtai</t>
  </si>
  <si>
    <t>Import from Wokha</t>
  </si>
  <si>
    <t>Export to Wokha</t>
  </si>
  <si>
    <t>11 KV Feeder No.6 (JELANGITOP)</t>
  </si>
  <si>
    <t>33 KV PGCIL</t>
  </si>
  <si>
    <t xml:space="preserve">11 KV DHEKIAJULI--LICHUBARI </t>
  </si>
  <si>
    <t>X0875283</t>
  </si>
  <si>
    <t>33 KV KOLIAPANI-TEOK</t>
  </si>
  <si>
    <t>33 KV Nakachari-Gabhuru</t>
  </si>
  <si>
    <t>33 KV MARIANI-TEOK (Tapping)</t>
  </si>
  <si>
    <t>33 kV Teok-Mudoijan</t>
  </si>
  <si>
    <t>33 KV Panichokua-Gotonga</t>
  </si>
  <si>
    <t>33 KV TEOK-BHOGAMUKH</t>
  </si>
  <si>
    <t>11 KV Khanamukh-Charingia</t>
  </si>
  <si>
    <t>33 KV MARIANI -DHOPATBARI (GSS)</t>
  </si>
  <si>
    <t>11 KV MURMURRIA INDUSTRY FDR.</t>
  </si>
  <si>
    <t>X0688252</t>
  </si>
  <si>
    <t>Export to Mariani ESD</t>
  </si>
  <si>
    <t>Import from JESD-I</t>
  </si>
  <si>
    <t>IEM00000192A</t>
  </si>
  <si>
    <t>IEM00000184A</t>
  </si>
  <si>
    <t>IEM00000214A</t>
  </si>
  <si>
    <t>IEM00000390A</t>
  </si>
  <si>
    <t>IEM00000400A</t>
  </si>
  <si>
    <t>11kV Bosa Feeder is fed from Athkhelia DSS of GEC from 09/04/23</t>
  </si>
  <si>
    <t>IEM00000341A</t>
  </si>
  <si>
    <t>IEM00000408A</t>
  </si>
  <si>
    <t>IEM00000454A</t>
  </si>
  <si>
    <t>33 KV NAKACHARI-GABHURU</t>
  </si>
  <si>
    <t>33 KV Teok-Kakojan(SE)</t>
  </si>
  <si>
    <t>Power taken from Kaliapani GSS only</t>
  </si>
  <si>
    <t>IEM00000261A</t>
  </si>
  <si>
    <t>IEM00000462A</t>
  </si>
  <si>
    <t>IEM00000472A</t>
  </si>
  <si>
    <t>33 KV Teok-Garmur(EXIM)</t>
  </si>
  <si>
    <t>IEM00000393A</t>
  </si>
  <si>
    <t>IEM00000410A</t>
  </si>
  <si>
    <t>IEM00000129A</t>
  </si>
  <si>
    <t>IEM00000328A</t>
  </si>
  <si>
    <t>IEM00000540A</t>
  </si>
  <si>
    <t>IEM00000484A</t>
  </si>
  <si>
    <t>IEM00000370A</t>
  </si>
  <si>
    <t>IEM00000282A</t>
  </si>
  <si>
    <t>IEM00000269A</t>
  </si>
  <si>
    <t>IEM00000351A</t>
  </si>
  <si>
    <t>IEM00000237A</t>
  </si>
  <si>
    <r>
      <t>ENERGY INJECTION TO JORHAT ELECTRICAL DIVISION-</t>
    </r>
    <r>
      <rPr>
        <b/>
        <i/>
        <u/>
        <sz val="18"/>
        <color rgb="FFFF0000"/>
        <rFont val="Arial"/>
        <family val="2"/>
      </rPr>
      <t>ONE</t>
    </r>
  </si>
  <si>
    <r>
      <t>TOTAL ENERGY INJECTION IN JORHAT ELECTRICAL DIVISION-</t>
    </r>
    <r>
      <rPr>
        <i/>
        <u val="double"/>
        <sz val="14"/>
        <color rgb="FFFF0000"/>
        <rFont val="Arial"/>
        <family val="2"/>
      </rPr>
      <t xml:space="preserve">ONE:- </t>
    </r>
  </si>
  <si>
    <r>
      <t>JORHAT-</t>
    </r>
    <r>
      <rPr>
        <sz val="24"/>
        <color rgb="FFFF0000"/>
        <rFont val="Arial"/>
        <family val="2"/>
      </rPr>
      <t>ONE</t>
    </r>
    <r>
      <rPr>
        <sz val="48"/>
        <color rgb="FFFF0000"/>
        <rFont val="Arial"/>
        <family val="2"/>
      </rPr>
      <t>:-</t>
    </r>
  </si>
  <si>
    <r>
      <rPr>
        <u val="double"/>
        <sz val="14"/>
        <color rgb="FFFF0000"/>
        <rFont val="Arial"/>
        <family val="2"/>
      </rPr>
      <t>ENERGY INJECTED TO TEOK ELEC. SUB-DIV</t>
    </r>
    <r>
      <rPr>
        <sz val="14"/>
        <color rgb="FFFF0000"/>
        <rFont val="Arial"/>
        <family val="2"/>
      </rPr>
      <t xml:space="preserve"> :- </t>
    </r>
  </si>
  <si>
    <r>
      <rPr>
        <u val="double"/>
        <sz val="14"/>
        <color rgb="FFFF0000"/>
        <rFont val="Arial"/>
        <family val="2"/>
      </rPr>
      <t>ENERGY INJECTED TO KAKOJAN ELEC. SUB-DIV</t>
    </r>
    <r>
      <rPr>
        <sz val="14"/>
        <color rgb="FFFF0000"/>
        <rFont val="Arial"/>
        <family val="2"/>
      </rPr>
      <t xml:space="preserve"> :-</t>
    </r>
  </si>
  <si>
    <t>33 KV Line From GARMUR GSS To GARMUR S/s</t>
  </si>
  <si>
    <t>33 KV MARIANI-TITABAR</t>
  </si>
  <si>
    <t>11KV BOSA (ATHKHELIA)</t>
  </si>
  <si>
    <t xml:space="preserve">33 KV MARIANI </t>
  </si>
  <si>
    <t>S.No.</t>
  </si>
  <si>
    <t xml:space="preserve">33 KV Nakachari-Teok </t>
  </si>
  <si>
    <r>
      <t>ENERGY INJECTION TO JORHAT ELECTRICAL DIVISION-</t>
    </r>
    <r>
      <rPr>
        <b/>
        <i/>
        <u/>
        <sz val="11"/>
        <color rgb="FFFF0000"/>
        <rFont val="Arial"/>
        <family val="2"/>
      </rPr>
      <t>TWO</t>
    </r>
  </si>
  <si>
    <t>JORHAT-TWO:-</t>
  </si>
  <si>
    <t>33 KV Nakachari Teok</t>
  </si>
  <si>
    <t>Import from Mariani ESD</t>
  </si>
  <si>
    <r>
      <rPr>
        <u val="double"/>
        <sz val="14"/>
        <color rgb="FFFF0000"/>
        <rFont val="Arial"/>
        <family val="2"/>
      </rPr>
      <t>ENERGY INJECTED TO TITABAR ELEC. SUB-DIV</t>
    </r>
    <r>
      <rPr>
        <sz val="14"/>
        <color rgb="FFFF0000"/>
        <rFont val="Arial"/>
        <family val="2"/>
      </rPr>
      <t xml:space="preserve"> :- </t>
    </r>
  </si>
  <si>
    <r>
      <rPr>
        <u val="double"/>
        <sz val="14"/>
        <color rgb="FFFF0000"/>
        <rFont val="Arial"/>
        <family val="2"/>
      </rPr>
      <t>ENERGY INJECTED TO MARIANI ELEC. SUB-DIV</t>
    </r>
    <r>
      <rPr>
        <sz val="14"/>
        <color rgb="FFFF0000"/>
        <rFont val="Arial"/>
        <family val="2"/>
      </rPr>
      <t xml:space="preserve"> :-</t>
    </r>
  </si>
  <si>
    <r>
      <rPr>
        <u val="double"/>
        <sz val="14"/>
        <color rgb="FFFF0000"/>
        <rFont val="Arial"/>
        <family val="2"/>
      </rPr>
      <t>ENERGY INJECTED TO MAJULI ELEC. SUB-DIV</t>
    </r>
    <r>
      <rPr>
        <sz val="14"/>
        <color rgb="FFFF0000"/>
        <rFont val="Arial"/>
        <family val="2"/>
      </rPr>
      <t xml:space="preserve"> :- </t>
    </r>
  </si>
  <si>
    <t>33 KV PANICHUKUA</t>
  </si>
  <si>
    <t>33 KV PULIBOR</t>
  </si>
  <si>
    <t xml:space="preserve">33 KV AJANTA BYPASS </t>
  </si>
  <si>
    <t>33 KV JORHAT-III</t>
  </si>
  <si>
    <t>33 KV GARMUR-KAKOJAN</t>
  </si>
  <si>
    <t>33 KV MURMURIA LINE</t>
  </si>
  <si>
    <t>33 KV JORHAT-I</t>
  </si>
  <si>
    <t>Import to Mariani ESD</t>
  </si>
  <si>
    <t xml:space="preserve">33 KV GARAMUR </t>
  </si>
  <si>
    <t xml:space="preserve"> CTPT Damaged Ex to Teok(Kakojan ESD)</t>
  </si>
  <si>
    <t>CTPT Damaged (Import from Teok)</t>
  </si>
  <si>
    <t>CTPT Damaged Export to JED-I</t>
  </si>
  <si>
    <t>CTPT Damaged Import from Garmur GSS</t>
  </si>
  <si>
    <t>33 KV PGCIL-II(IRCA Consumer)</t>
  </si>
  <si>
    <t>33 KV Radhabari-Rangoliting</t>
  </si>
  <si>
    <t>New Panel Meter(IM/EX) Installed on 26.11.24 Import from Garmur GSS</t>
  </si>
  <si>
    <t>New Panel Meter(IM/EX) Installed on 26.11.24 Export to JED-I</t>
  </si>
  <si>
    <t>New Panel Meter(IM/EX) Installed on 26.11.24 (Ex to Teok(Kakojan ESD))</t>
  </si>
  <si>
    <t>New  Panel Meter(IM/EX) Installed on 26.11.24 Import from Teok</t>
  </si>
  <si>
    <t>33 KV GOTONGA-KAMARBONDHA</t>
  </si>
  <si>
    <t>11 KV Uttor Dulia Fdr</t>
  </si>
  <si>
    <t>FDR charged on 12/12/24 at Mudoijan DSS</t>
  </si>
  <si>
    <t>Export to GEC</t>
  </si>
  <si>
    <t>Present Reading</t>
  </si>
  <si>
    <t>Previous Reading</t>
  </si>
  <si>
    <r>
      <t xml:space="preserve">IMPORT Of ENERGY </t>
    </r>
    <r>
      <rPr>
        <b/>
        <i/>
        <u/>
        <sz val="10"/>
        <color rgb="FFFF0000"/>
        <rFont val="Times New Roman"/>
        <family val="1"/>
      </rPr>
      <t>(In KWh)</t>
    </r>
  </si>
  <si>
    <r>
      <t>EXPORT Of ENERGY</t>
    </r>
    <r>
      <rPr>
        <b/>
        <i/>
        <u/>
        <sz val="10"/>
        <color rgb="FFFF0000"/>
        <rFont val="Times New Roman"/>
        <family val="1"/>
      </rPr>
      <t xml:space="preserve"> (In KWh)</t>
    </r>
  </si>
  <si>
    <r>
      <t xml:space="preserve">NET ENERGY INJECTION </t>
    </r>
    <r>
      <rPr>
        <b/>
        <i/>
        <u/>
        <sz val="10"/>
        <color rgb="FFFF0000"/>
        <rFont val="Times New Roman"/>
        <family val="1"/>
      </rPr>
      <t>(In KWh)</t>
    </r>
  </si>
  <si>
    <r>
      <t xml:space="preserve">NET ENERGY INJECTION </t>
    </r>
    <r>
      <rPr>
        <b/>
        <i/>
        <u/>
        <sz val="12"/>
        <color rgb="FFFF0000"/>
        <rFont val="Times New Roman"/>
        <family val="1"/>
      </rPr>
      <t>(In MU)</t>
    </r>
  </si>
  <si>
    <t>Meter Changed on 22.05.25</t>
  </si>
  <si>
    <t>Q1025028</t>
  </si>
  <si>
    <t>Import From Teok ESD</t>
  </si>
  <si>
    <t>33 KV kundargaon (AIIDC) Control Room RE</t>
  </si>
  <si>
    <t>Export to Titabor ESD</t>
  </si>
  <si>
    <t>Import from GEC(Meter Changed in Jan)</t>
  </si>
  <si>
    <t>Import from Amguri ESD  (CT PT DAMAGED)</t>
  </si>
  <si>
    <t>Export to Gaurisaar ESD (CT PT DAMAGED)</t>
  </si>
  <si>
    <t>33 KV Stadium Fdr</t>
  </si>
  <si>
    <t>For the month of June, 2026 (Billed in July 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</si>
</sst>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0.00;[Red]0.00"/>
    <numFmt numFmtId="166" formatCode="0.0000"/>
    <numFmt numFmtId="167" formatCode="0.0000000"/>
    <numFmt numFmtId="168" formatCode="0.000000"/>
    <numFmt numFmtId="169" formatCode="0.000;[Red]0.000"/>
    <numFmt numFmtId="170" formatCode="0.000000;[Red]0.000000"/>
    <numFmt numFmtId="171" formatCode="0.00000000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u/>
      <sz val="18"/>
      <color theme="1"/>
      <name val="Arial"/>
      <family val="2"/>
    </font>
    <font>
      <b/>
      <i/>
      <u/>
      <sz val="18"/>
      <color rgb="FFFF0000"/>
      <name val="Arial"/>
      <family val="2"/>
    </font>
    <font>
      <sz val="11"/>
      <color theme="1"/>
      <name val="Arial"/>
      <family val="2"/>
    </font>
    <font>
      <u/>
      <sz val="14"/>
      <color rgb="FFFF0000"/>
      <name val="Arial"/>
      <family val="2"/>
    </font>
    <font>
      <b/>
      <u/>
      <sz val="12"/>
      <color theme="1"/>
      <name val="Arial"/>
      <family val="2"/>
    </font>
    <font>
      <b/>
      <u/>
      <sz val="16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2"/>
      <color rgb="FFFF0000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2"/>
      <color rgb="FFFF0000"/>
      <name val="Arial"/>
      <family val="2"/>
    </font>
    <font>
      <u val="double"/>
      <sz val="14"/>
      <color rgb="FFFF0000"/>
      <name val="Arial"/>
      <family val="2"/>
    </font>
    <font>
      <i/>
      <u val="double"/>
      <sz val="14"/>
      <color rgb="FFFF0000"/>
      <name val="Arial"/>
      <family val="2"/>
    </font>
    <font>
      <sz val="48"/>
      <color rgb="FFFF0000"/>
      <name val="Arial"/>
      <family val="2"/>
    </font>
    <font>
      <sz val="24"/>
      <color rgb="FFFF0000"/>
      <name val="Arial"/>
      <family val="2"/>
    </font>
    <font>
      <sz val="48"/>
      <color theme="1"/>
      <name val="Arial"/>
      <family val="2"/>
    </font>
    <font>
      <b/>
      <u/>
      <sz val="11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rgb="FFFF0000"/>
      <name val="Arial"/>
      <family val="2"/>
    </font>
    <font>
      <sz val="9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b/>
      <i/>
      <u/>
      <sz val="12"/>
      <color rgb="FFFF0000"/>
      <name val="Arial"/>
      <family val="2"/>
    </font>
    <font>
      <b/>
      <sz val="10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b/>
      <u/>
      <sz val="14"/>
      <color rgb="FFFF0000"/>
      <name val="Arial"/>
      <family val="2"/>
    </font>
    <font>
      <b/>
      <u val="double"/>
      <sz val="14"/>
      <color rgb="FFFF0000"/>
      <name val="Arial"/>
      <family val="2"/>
    </font>
    <font>
      <sz val="11"/>
      <color theme="1"/>
      <name val="Century Gothic"/>
      <family val="2"/>
    </font>
    <font>
      <b/>
      <i/>
      <u/>
      <sz val="11"/>
      <color theme="1"/>
      <name val="Arial"/>
      <family val="2"/>
    </font>
    <font>
      <b/>
      <i/>
      <u/>
      <sz val="11"/>
      <color rgb="FFFF0000"/>
      <name val="Arial"/>
      <family val="2"/>
    </font>
    <font>
      <b/>
      <u val="double"/>
      <sz val="11"/>
      <color rgb="FFFF0000"/>
      <name val="Arial"/>
      <family val="2"/>
    </font>
    <font>
      <b/>
      <i/>
      <sz val="11"/>
      <color rgb="FFFF0000"/>
      <name val="Arial"/>
      <family val="2"/>
    </font>
    <font>
      <i/>
      <sz val="11"/>
      <color rgb="FFFF0000"/>
      <name val="Arial"/>
      <family val="2"/>
    </font>
    <font>
      <u val="double"/>
      <sz val="11"/>
      <color rgb="FFFF0000"/>
      <name val="Arial"/>
      <family val="2"/>
    </font>
    <font>
      <sz val="11"/>
      <name val="Century Gothic"/>
      <family val="2"/>
    </font>
    <font>
      <sz val="11"/>
      <color rgb="FFFF0000"/>
      <name val="Century Gothic"/>
      <family val="2"/>
    </font>
    <font>
      <b/>
      <sz val="14"/>
      <color rgb="FFFF0000"/>
      <name val="Arial"/>
      <family val="2"/>
    </font>
    <font>
      <sz val="36"/>
      <color rgb="FFFF0000"/>
      <name val="Arial"/>
      <family val="2"/>
    </font>
    <font>
      <sz val="11"/>
      <color rgb="FF000000"/>
      <name val="Century Gothic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sz val="12"/>
      <color theme="1"/>
      <name val="Century Gothic"/>
      <family val="2"/>
    </font>
    <font>
      <b/>
      <i/>
      <u/>
      <sz val="16"/>
      <color theme="1"/>
      <name val="Times New Roman"/>
      <family val="1"/>
    </font>
    <font>
      <b/>
      <i/>
      <u/>
      <sz val="10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b/>
      <i/>
      <u/>
      <sz val="12"/>
      <color theme="1"/>
      <name val="Times New Roman"/>
      <family val="1"/>
    </font>
    <font>
      <b/>
      <i/>
      <u/>
      <sz val="10"/>
      <color rgb="FFFF0000"/>
      <name val="Times New Roman"/>
      <family val="1"/>
    </font>
    <font>
      <b/>
      <i/>
      <u/>
      <sz val="12"/>
      <color rgb="FFFF0000"/>
      <name val="Times New Roman"/>
      <family val="1"/>
    </font>
    <font>
      <b/>
      <i/>
      <u/>
      <sz val="16"/>
      <color rgb="FFFF0000"/>
      <name val="Times New Roman"/>
      <family val="1"/>
    </font>
    <font>
      <sz val="11"/>
      <color theme="5"/>
      <name val="Arial"/>
      <family val="2"/>
    </font>
    <font>
      <sz val="12"/>
      <color theme="1"/>
      <name val="Century Gothic"/>
      <family val="2"/>
    </font>
    <font>
      <sz val="10"/>
      <name val="Century Gothic"/>
      <family val="2"/>
    </font>
    <font>
      <b/>
      <sz val="10"/>
      <color theme="1"/>
      <name val="Century Gothic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0" borderId="0"/>
    <xf numFmtId="0" fontId="51" fillId="0" borderId="25" applyNumberFormat="0" applyFill="0" applyAlignment="0" applyProtection="0"/>
    <xf numFmtId="0" fontId="52" fillId="0" borderId="26" applyNumberFormat="0" applyFill="0" applyAlignment="0" applyProtection="0"/>
    <xf numFmtId="0" fontId="53" fillId="0" borderId="27" applyNumberFormat="0" applyFill="0" applyAlignment="0" applyProtection="0"/>
    <xf numFmtId="0" fontId="53" fillId="0" borderId="0" applyNumberFormat="0" applyFill="0" applyBorder="0" applyAlignment="0" applyProtection="0"/>
    <xf numFmtId="0" fontId="54" fillId="2" borderId="0" applyNumberFormat="0" applyBorder="0" applyAlignment="0" applyProtection="0"/>
    <xf numFmtId="0" fontId="55" fillId="3" borderId="0" applyNumberFormat="0" applyBorder="0" applyAlignment="0" applyProtection="0"/>
    <xf numFmtId="0" fontId="56" fillId="5" borderId="28" applyNumberFormat="0" applyAlignment="0" applyProtection="0"/>
    <xf numFmtId="0" fontId="57" fillId="6" borderId="29" applyNumberFormat="0" applyAlignment="0" applyProtection="0"/>
    <xf numFmtId="0" fontId="58" fillId="6" borderId="28" applyNumberFormat="0" applyAlignment="0" applyProtection="0"/>
    <xf numFmtId="0" fontId="59" fillId="0" borderId="30" applyNumberFormat="0" applyFill="0" applyAlignment="0" applyProtection="0"/>
    <xf numFmtId="0" fontId="60" fillId="7" borderId="31" applyNumberFormat="0" applyAlignment="0" applyProtection="0"/>
    <xf numFmtId="0" fontId="61" fillId="0" borderId="0" applyNumberFormat="0" applyFill="0" applyBorder="0" applyAlignment="0" applyProtection="0"/>
    <xf numFmtId="0" fontId="1" fillId="8" borderId="32" applyNumberFormat="0" applyFont="0" applyAlignment="0" applyProtection="0"/>
    <xf numFmtId="0" fontId="62" fillId="0" borderId="0" applyNumberFormat="0" applyFill="0" applyBorder="0" applyAlignment="0" applyProtection="0"/>
    <xf numFmtId="0" fontId="63" fillId="0" borderId="33" applyNumberFormat="0" applyFill="0" applyAlignment="0" applyProtection="0"/>
    <xf numFmtId="0" fontId="64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64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64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6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4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4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5" fillId="0" borderId="0" applyNumberFormat="0" applyFill="0" applyBorder="0" applyAlignment="0" applyProtection="0"/>
    <xf numFmtId="0" fontId="66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01">
    <xf numFmtId="0" fontId="0" fillId="0" borderId="0" xfId="0"/>
    <xf numFmtId="168" fontId="0" fillId="0" borderId="0" xfId="0" applyNumberFormat="1"/>
    <xf numFmtId="0" fontId="5" fillId="0" borderId="0" xfId="0" applyFont="1" applyAlignment="1">
      <alignment wrapText="1"/>
    </xf>
    <xf numFmtId="0" fontId="5" fillId="0" borderId="0" xfId="0" applyFont="1"/>
    <xf numFmtId="0" fontId="7" fillId="0" borderId="1" xfId="0" applyFont="1" applyBorder="1" applyAlignment="1">
      <alignment horizontal="center" vertical="center" wrapText="1"/>
    </xf>
    <xf numFmtId="0" fontId="68" fillId="0" borderId="1" xfId="0" applyFont="1" applyBorder="1" applyAlignment="1">
      <alignment horizontal="left" vertical="center" wrapText="1"/>
    </xf>
    <xf numFmtId="0" fontId="69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 vertical="center" wrapText="1"/>
    </xf>
    <xf numFmtId="0" fontId="71" fillId="0" borderId="1" xfId="0" applyFont="1" applyBorder="1" applyAlignment="1">
      <alignment horizontal="center" vertical="center" wrapText="1"/>
    </xf>
    <xf numFmtId="0" fontId="7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8" fontId="12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right" vertical="center"/>
    </xf>
    <xf numFmtId="0" fontId="18" fillId="0" borderId="1" xfId="0" applyFont="1" applyBorder="1" applyAlignment="1">
      <alignment horizontal="center" vertical="center"/>
    </xf>
    <xf numFmtId="168" fontId="18" fillId="0" borderId="1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right" vertical="center"/>
    </xf>
    <xf numFmtId="2" fontId="5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69" fontId="12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5" fillId="0" borderId="0" xfId="0" applyFont="1" applyAlignment="1">
      <alignment horizontal="right"/>
    </xf>
    <xf numFmtId="168" fontId="5" fillId="0" borderId="0" xfId="0" applyNumberFormat="1" applyFont="1" applyAlignment="1">
      <alignment horizontal="center"/>
    </xf>
    <xf numFmtId="168" fontId="21" fillId="0" borderId="11" xfId="0" applyNumberFormat="1" applyFont="1" applyBorder="1" applyAlignment="1">
      <alignment horizontal="center"/>
    </xf>
    <xf numFmtId="168" fontId="21" fillId="0" borderId="0" xfId="0" applyNumberFormat="1" applyFont="1" applyAlignment="1">
      <alignment horizontal="center"/>
    </xf>
    <xf numFmtId="168" fontId="22" fillId="0" borderId="5" xfId="0" applyNumberFormat="1" applyFont="1" applyBorder="1" applyAlignment="1">
      <alignment vertical="center"/>
    </xf>
    <xf numFmtId="0" fontId="22" fillId="0" borderId="6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4" fillId="0" borderId="6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164" fontId="39" fillId="0" borderId="1" xfId="0" applyNumberFormat="1" applyFont="1" applyBorder="1" applyAlignment="1">
      <alignment vertical="center"/>
    </xf>
    <xf numFmtId="2" fontId="12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4" fontId="39" fillId="0" borderId="1" xfId="0" applyNumberFormat="1" applyFont="1" applyBorder="1" applyAlignment="1">
      <alignment horizontal="right" vertical="center"/>
    </xf>
    <xf numFmtId="2" fontId="12" fillId="0" borderId="1" xfId="0" applyNumberFormat="1" applyFont="1" applyBorder="1" applyAlignment="1">
      <alignment horizontal="center"/>
    </xf>
    <xf numFmtId="168" fontId="12" fillId="0" borderId="1" xfId="0" applyNumberFormat="1" applyFont="1" applyBorder="1" applyAlignment="1">
      <alignment horizontal="center"/>
    </xf>
    <xf numFmtId="0" fontId="12" fillId="0" borderId="0" xfId="0" applyFont="1"/>
    <xf numFmtId="0" fontId="2" fillId="0" borderId="1" xfId="0" applyFont="1" applyBorder="1" applyAlignment="1">
      <alignment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4" fontId="46" fillId="0" borderId="1" xfId="0" applyNumberFormat="1" applyFont="1" applyBorder="1" applyAlignment="1">
      <alignment horizontal="right" vertical="center"/>
    </xf>
    <xf numFmtId="166" fontId="12" fillId="0" borderId="0" xfId="0" applyNumberFormat="1" applyFont="1" applyAlignment="1">
      <alignment horizontal="center" vertical="center"/>
    </xf>
    <xf numFmtId="167" fontId="1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166" fontId="12" fillId="0" borderId="1" xfId="0" applyNumberFormat="1" applyFont="1" applyBorder="1" applyAlignment="1">
      <alignment horizontal="right" vertical="center"/>
    </xf>
    <xf numFmtId="2" fontId="12" fillId="0" borderId="2" xfId="0" applyNumberFormat="1" applyFont="1" applyBorder="1" applyAlignment="1">
      <alignment horizontal="center" vertical="center"/>
    </xf>
    <xf numFmtId="168" fontId="12" fillId="0" borderId="2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vertical="center" wrapText="1"/>
    </xf>
    <xf numFmtId="166" fontId="12" fillId="0" borderId="0" xfId="0" applyNumberFormat="1" applyFont="1" applyAlignment="1">
      <alignment vertical="center"/>
    </xf>
    <xf numFmtId="167" fontId="12" fillId="0" borderId="0" xfId="0" applyNumberFormat="1" applyFont="1" applyAlignment="1">
      <alignment vertical="center"/>
    </xf>
    <xf numFmtId="0" fontId="12" fillId="0" borderId="2" xfId="0" applyFont="1" applyBorder="1" applyAlignment="1">
      <alignment vertical="center"/>
    </xf>
    <xf numFmtId="0" fontId="18" fillId="0" borderId="2" xfId="0" applyFont="1" applyBorder="1" applyAlignment="1">
      <alignment horizontal="center" vertical="center"/>
    </xf>
    <xf numFmtId="168" fontId="18" fillId="0" borderId="2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2" xfId="0" applyFont="1" applyBorder="1" applyAlignment="1">
      <alignment horizontal="center"/>
    </xf>
    <xf numFmtId="2" fontId="12" fillId="0" borderId="2" xfId="0" applyNumberFormat="1" applyFont="1" applyBorder="1" applyAlignment="1">
      <alignment horizontal="center"/>
    </xf>
    <xf numFmtId="168" fontId="12" fillId="0" borderId="2" xfId="0" applyNumberFormat="1" applyFont="1" applyBorder="1" applyAlignment="1">
      <alignment horizontal="center"/>
    </xf>
    <xf numFmtId="0" fontId="46" fillId="0" borderId="1" xfId="0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46" fillId="0" borderId="1" xfId="0" applyFont="1" applyBorder="1" applyAlignment="1">
      <alignment horizontal="right"/>
    </xf>
    <xf numFmtId="0" fontId="12" fillId="0" borderId="21" xfId="0" applyFont="1" applyBorder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2" fontId="46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vertical="center"/>
    </xf>
    <xf numFmtId="0" fontId="13" fillId="0" borderId="3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46" fillId="0" borderId="3" xfId="0" applyFont="1" applyBorder="1" applyAlignment="1">
      <alignment horizontal="right"/>
    </xf>
    <xf numFmtId="164" fontId="12" fillId="0" borderId="3" xfId="0" applyNumberFormat="1" applyFont="1" applyBorder="1" applyAlignment="1">
      <alignment horizontal="center" vertical="center"/>
    </xf>
    <xf numFmtId="0" fontId="75" fillId="0" borderId="3" xfId="0" applyFont="1" applyBorder="1" applyAlignment="1">
      <alignment horizontal="center"/>
    </xf>
    <xf numFmtId="168" fontId="75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right" vertical="center"/>
    </xf>
    <xf numFmtId="0" fontId="18" fillId="0" borderId="3" xfId="0" applyFont="1" applyBorder="1" applyAlignment="1">
      <alignment horizontal="center"/>
    </xf>
    <xf numFmtId="168" fontId="18" fillId="0" borderId="3" xfId="0" applyNumberFormat="1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68" fontId="5" fillId="0" borderId="3" xfId="0" applyNumberFormat="1" applyFont="1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39" fillId="0" borderId="1" xfId="0" applyFont="1" applyBorder="1"/>
    <xf numFmtId="2" fontId="12" fillId="0" borderId="3" xfId="0" applyNumberFormat="1" applyFont="1" applyBorder="1" applyAlignment="1">
      <alignment horizontal="center"/>
    </xf>
    <xf numFmtId="166" fontId="39" fillId="0" borderId="3" xfId="0" applyNumberFormat="1" applyFont="1" applyBorder="1" applyAlignment="1">
      <alignment horizontal="right" vertical="center"/>
    </xf>
    <xf numFmtId="0" fontId="39" fillId="0" borderId="2" xfId="0" applyFont="1" applyBorder="1" applyAlignment="1">
      <alignment horizontal="center" vertical="center" wrapText="1"/>
    </xf>
    <xf numFmtId="166" fontId="46" fillId="0" borderId="3" xfId="0" applyNumberFormat="1" applyFont="1" applyBorder="1" applyAlignment="1">
      <alignment horizontal="right" vertical="center"/>
    </xf>
    <xf numFmtId="2" fontId="12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168" fontId="18" fillId="0" borderId="3" xfId="0" applyNumberFormat="1" applyFont="1" applyBorder="1" applyAlignment="1">
      <alignment horizontal="center" vertical="center"/>
    </xf>
    <xf numFmtId="0" fontId="15" fillId="0" borderId="2" xfId="0" applyFont="1" applyBorder="1" applyAlignment="1">
      <alignment horizontal="left" vertical="center"/>
    </xf>
    <xf numFmtId="2" fontId="5" fillId="0" borderId="3" xfId="0" applyNumberFormat="1" applyFont="1" applyBorder="1" applyAlignment="1">
      <alignment horizontal="right" vertical="center"/>
    </xf>
    <xf numFmtId="0" fontId="5" fillId="0" borderId="1" xfId="0" applyFont="1" applyBorder="1"/>
    <xf numFmtId="166" fontId="39" fillId="0" borderId="1" xfId="0" applyNumberFormat="1" applyFont="1" applyBorder="1" applyAlignment="1">
      <alignment horizontal="right" vertical="center"/>
    </xf>
    <xf numFmtId="0" fontId="39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46" fillId="0" borderId="1" xfId="0" applyNumberFormat="1" applyFont="1" applyBorder="1" applyAlignment="1">
      <alignment vertical="center"/>
    </xf>
    <xf numFmtId="0" fontId="0" fillId="0" borderId="35" xfId="0" applyBorder="1" applyAlignment="1">
      <alignment vertical="center" wrapText="1"/>
    </xf>
    <xf numFmtId="0" fontId="46" fillId="0" borderId="1" xfId="0" applyFont="1" applyBorder="1" applyAlignment="1">
      <alignment vertical="center"/>
    </xf>
    <xf numFmtId="0" fontId="46" fillId="0" borderId="1" xfId="0" applyFont="1" applyBorder="1"/>
    <xf numFmtId="2" fontId="46" fillId="0" borderId="1" xfId="0" applyNumberFormat="1" applyFont="1" applyBorder="1"/>
    <xf numFmtId="0" fontId="39" fillId="0" borderId="0" xfId="0" applyFont="1"/>
    <xf numFmtId="0" fontId="5" fillId="0" borderId="15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4" fillId="0" borderId="4" xfId="0" applyFont="1" applyBorder="1" applyAlignment="1">
      <alignment horizontal="right" vertical="center"/>
    </xf>
    <xf numFmtId="0" fontId="24" fillId="0" borderId="5" xfId="0" applyFont="1" applyBorder="1" applyAlignment="1">
      <alignment horizontal="right" vertical="center"/>
    </xf>
    <xf numFmtId="168" fontId="26" fillId="0" borderId="5" xfId="0" applyNumberFormat="1" applyFont="1" applyBorder="1" applyAlignment="1">
      <alignment horizontal="right" vertical="center"/>
    </xf>
    <xf numFmtId="0" fontId="22" fillId="0" borderId="4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3" fillId="0" borderId="0" xfId="0" applyFont="1" applyFill="1" applyAlignment="1">
      <alignment horizontal="center"/>
    </xf>
    <xf numFmtId="164" fontId="5" fillId="0" borderId="0" xfId="0" applyNumberFormat="1" applyFont="1" applyFill="1"/>
    <xf numFmtId="0" fontId="5" fillId="0" borderId="0" xfId="0" applyFont="1" applyFill="1"/>
    <xf numFmtId="0" fontId="6" fillId="0" borderId="7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righ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/>
    </xf>
    <xf numFmtId="2" fontId="46" fillId="0" borderId="3" xfId="0" applyNumberFormat="1" applyFont="1" applyFill="1" applyBorder="1" applyAlignment="1">
      <alignment horizontal="right" vertical="center" wrapText="1"/>
    </xf>
    <xf numFmtId="164" fontId="39" fillId="0" borderId="3" xfId="0" applyNumberFormat="1" applyFont="1" applyFill="1" applyBorder="1" applyAlignment="1">
      <alignment horizontal="center" vertical="center"/>
    </xf>
    <xf numFmtId="165" fontId="39" fillId="0" borderId="3" xfId="0" applyNumberFormat="1" applyFont="1" applyFill="1" applyBorder="1" applyAlignment="1">
      <alignment horizontal="center" vertical="center"/>
    </xf>
    <xf numFmtId="0" fontId="47" fillId="0" borderId="3" xfId="0" applyFont="1" applyFill="1" applyBorder="1" applyAlignment="1">
      <alignment horizontal="center" vertical="center"/>
    </xf>
    <xf numFmtId="169" fontId="39" fillId="0" borderId="3" xfId="0" applyNumberFormat="1" applyFont="1" applyFill="1" applyBorder="1" applyAlignment="1">
      <alignment horizontal="center" vertical="center"/>
    </xf>
    <xf numFmtId="168" fontId="39" fillId="0" borderId="3" xfId="0" applyNumberFormat="1" applyFont="1" applyFill="1" applyBorder="1" applyAlignment="1">
      <alignment horizontal="center" vertical="center"/>
    </xf>
    <xf numFmtId="0" fontId="28" fillId="0" borderId="3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20" fillId="0" borderId="1" xfId="0" applyFont="1" applyFill="1" applyBorder="1" applyAlignment="1">
      <alignment horizontal="center" vertical="center"/>
    </xf>
    <xf numFmtId="164" fontId="39" fillId="0" borderId="1" xfId="0" applyNumberFormat="1" applyFont="1" applyFill="1" applyBorder="1" applyAlignment="1">
      <alignment horizontal="right" vertical="center"/>
    </xf>
    <xf numFmtId="164" fontId="39" fillId="0" borderId="1" xfId="0" applyNumberFormat="1" applyFont="1" applyFill="1" applyBorder="1" applyAlignment="1">
      <alignment vertical="center"/>
    </xf>
    <xf numFmtId="165" fontId="39" fillId="0" borderId="1" xfId="0" applyNumberFormat="1" applyFont="1" applyFill="1" applyBorder="1" applyAlignment="1">
      <alignment horizontal="center" vertical="center"/>
    </xf>
    <xf numFmtId="164" fontId="47" fillId="0" borderId="1" xfId="0" applyNumberFormat="1" applyFont="1" applyFill="1" applyBorder="1" applyAlignment="1">
      <alignment horizontal="center" vertical="center"/>
    </xf>
    <xf numFmtId="169" fontId="46" fillId="0" borderId="1" xfId="0" applyNumberFormat="1" applyFont="1" applyFill="1" applyBorder="1" applyAlignment="1">
      <alignment horizontal="center" vertical="center"/>
    </xf>
    <xf numFmtId="168" fontId="46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64" fontId="5" fillId="0" borderId="1" xfId="0" applyNumberFormat="1" applyFont="1" applyFill="1" applyBorder="1"/>
    <xf numFmtId="0" fontId="5" fillId="0" borderId="1" xfId="0" applyFont="1" applyFill="1" applyBorder="1"/>
    <xf numFmtId="2" fontId="39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64" fontId="77" fillId="0" borderId="1" xfId="0" applyNumberFormat="1" applyFont="1" applyFill="1" applyBorder="1" applyAlignment="1">
      <alignment horizontal="right" vertical="center"/>
    </xf>
    <xf numFmtId="2" fontId="39" fillId="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center" vertical="center"/>
    </xf>
    <xf numFmtId="164" fontId="47" fillId="0" borderId="2" xfId="0" applyNumberFormat="1" applyFont="1" applyFill="1" applyBorder="1" applyAlignment="1">
      <alignment horizontal="center" vertical="center"/>
    </xf>
    <xf numFmtId="169" fontId="46" fillId="0" borderId="2" xfId="0" applyNumberFormat="1" applyFont="1" applyFill="1" applyBorder="1" applyAlignment="1">
      <alignment horizontal="center" vertical="center"/>
    </xf>
    <xf numFmtId="168" fontId="46" fillId="0" borderId="2" xfId="0" applyNumberFormat="1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vertical="center"/>
    </xf>
    <xf numFmtId="0" fontId="39" fillId="0" borderId="14" xfId="0" applyFont="1" applyFill="1" applyBorder="1" applyAlignment="1">
      <alignment horizontal="right" vertical="center"/>
    </xf>
    <xf numFmtId="168" fontId="47" fillId="0" borderId="2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left" vertical="center"/>
    </xf>
    <xf numFmtId="0" fontId="20" fillId="0" borderId="3" xfId="0" applyFont="1" applyFill="1" applyBorder="1" applyAlignment="1">
      <alignment horizontal="center" vertical="center"/>
    </xf>
    <xf numFmtId="166" fontId="39" fillId="0" borderId="3" xfId="0" applyNumberFormat="1" applyFont="1" applyFill="1" applyBorder="1" applyAlignment="1">
      <alignment horizontal="right" vertical="center"/>
    </xf>
    <xf numFmtId="0" fontId="39" fillId="0" borderId="1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/>
    </xf>
    <xf numFmtId="0" fontId="20" fillId="0" borderId="2" xfId="0" applyFont="1" applyFill="1" applyBorder="1" applyAlignment="1">
      <alignment horizontal="center" vertical="center"/>
    </xf>
    <xf numFmtId="2" fontId="39" fillId="0" borderId="3" xfId="0" applyNumberFormat="1" applyFont="1" applyFill="1" applyBorder="1" applyAlignment="1">
      <alignment horizontal="right" vertical="center"/>
    </xf>
    <xf numFmtId="168" fontId="47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left" vertical="center" wrapText="1"/>
    </xf>
    <xf numFmtId="2" fontId="39" fillId="0" borderId="1" xfId="0" applyNumberFormat="1" applyFont="1" applyFill="1" applyBorder="1" applyAlignment="1">
      <alignment horizontal="right" vertical="center"/>
    </xf>
    <xf numFmtId="2" fontId="47" fillId="0" borderId="1" xfId="0" applyNumberFormat="1" applyFont="1" applyFill="1" applyBorder="1" applyAlignment="1">
      <alignment horizontal="center" vertical="center"/>
    </xf>
    <xf numFmtId="169" fontId="39" fillId="0" borderId="1" xfId="0" applyNumberFormat="1" applyFont="1" applyFill="1" applyBorder="1" applyAlignment="1">
      <alignment horizontal="center" vertical="center"/>
    </xf>
    <xf numFmtId="168" fontId="39" fillId="0" borderId="1" xfId="0" applyNumberFormat="1" applyFont="1" applyFill="1" applyBorder="1" applyAlignment="1">
      <alignment horizontal="center" vertical="center"/>
    </xf>
    <xf numFmtId="0" fontId="78" fillId="0" borderId="3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vertical="center"/>
    </xf>
    <xf numFmtId="2" fontId="20" fillId="0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/>
    </xf>
    <xf numFmtId="0" fontId="29" fillId="0" borderId="1" xfId="0" applyFont="1" applyFill="1" applyBorder="1" applyAlignment="1">
      <alignment horizontal="center"/>
    </xf>
    <xf numFmtId="0" fontId="39" fillId="0" borderId="1" xfId="0" applyFont="1" applyFill="1" applyBorder="1" applyAlignment="1">
      <alignment horizontal="right" vertical="center"/>
    </xf>
    <xf numFmtId="0" fontId="15" fillId="0" borderId="1" xfId="0" applyFont="1" applyFill="1" applyBorder="1" applyAlignment="1">
      <alignment horizontal="center" vertical="center"/>
    </xf>
    <xf numFmtId="164" fontId="15" fillId="0" borderId="0" xfId="0" applyNumberFormat="1" applyFont="1" applyFill="1"/>
    <xf numFmtId="0" fontId="15" fillId="0" borderId="0" xfId="0" applyFont="1" applyFill="1"/>
    <xf numFmtId="2" fontId="77" fillId="0" borderId="1" xfId="0" applyNumberFormat="1" applyFont="1" applyFill="1" applyBorder="1" applyAlignment="1">
      <alignment horizontal="right" vertical="center"/>
    </xf>
    <xf numFmtId="0" fontId="39" fillId="0" borderId="8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 wrapText="1"/>
    </xf>
    <xf numFmtId="0" fontId="20" fillId="0" borderId="1" xfId="0" applyFont="1" applyFill="1" applyBorder="1" applyAlignment="1">
      <alignment horizontal="center"/>
    </xf>
    <xf numFmtId="0" fontId="31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165" fontId="5" fillId="0" borderId="1" xfId="0" applyNumberFormat="1" applyFont="1" applyFill="1" applyBorder="1" applyAlignment="1">
      <alignment horizontal="center" vertical="center"/>
    </xf>
    <xf numFmtId="164" fontId="18" fillId="0" borderId="8" xfId="0" applyNumberFormat="1" applyFont="1" applyFill="1" applyBorder="1" applyAlignment="1">
      <alignment horizontal="center" vertical="center" wrapText="1"/>
    </xf>
    <xf numFmtId="168" fontId="18" fillId="0" borderId="1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 wrapText="1"/>
    </xf>
    <xf numFmtId="171" fontId="5" fillId="0" borderId="1" xfId="0" applyNumberFormat="1" applyFont="1" applyFill="1" applyBorder="1" applyAlignment="1">
      <alignment horizontal="center" vertical="center"/>
    </xf>
    <xf numFmtId="0" fontId="78" fillId="0" borderId="34" xfId="0" applyFont="1" applyFill="1" applyBorder="1" applyAlignment="1">
      <alignment horizontal="center" vertical="center" wrapText="1"/>
    </xf>
    <xf numFmtId="164" fontId="5" fillId="0" borderId="7" xfId="0" applyNumberFormat="1" applyFont="1" applyFill="1" applyBorder="1"/>
    <xf numFmtId="0" fontId="5" fillId="0" borderId="7" xfId="0" applyFont="1" applyFill="1" applyBorder="1"/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left" vertical="center"/>
    </xf>
    <xf numFmtId="0" fontId="32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0" fontId="33" fillId="0" borderId="23" xfId="0" applyFont="1" applyFill="1" applyBorder="1" applyAlignment="1">
      <alignment horizontal="right"/>
    </xf>
    <xf numFmtId="168" fontId="33" fillId="0" borderId="24" xfId="0" applyNumberFormat="1" applyFont="1" applyFill="1" applyBorder="1" applyAlignment="1">
      <alignment horizontal="left"/>
    </xf>
    <xf numFmtId="0" fontId="19" fillId="0" borderId="0" xfId="0" applyFont="1" applyFill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2" fontId="5" fillId="0" borderId="1" xfId="0" applyNumberFormat="1" applyFont="1" applyFill="1" applyBorder="1" applyAlignment="1">
      <alignment horizontal="center" vertical="center"/>
    </xf>
    <xf numFmtId="164" fontId="18" fillId="0" borderId="1" xfId="0" applyNumberFormat="1" applyFont="1" applyFill="1" applyBorder="1" applyAlignment="1">
      <alignment horizontal="center" vertical="center"/>
    </xf>
    <xf numFmtId="169" fontId="12" fillId="0" borderId="1" xfId="0" applyNumberFormat="1" applyFont="1" applyFill="1" applyBorder="1" applyAlignment="1">
      <alignment horizontal="center" vertical="center"/>
    </xf>
    <xf numFmtId="168" fontId="12" fillId="0" borderId="1" xfId="0" applyNumberFormat="1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left" vertical="center" wrapText="1" shrinkToFit="1"/>
    </xf>
    <xf numFmtId="2" fontId="5" fillId="0" borderId="1" xfId="0" applyNumberFormat="1" applyFont="1" applyFill="1" applyBorder="1" applyAlignment="1">
      <alignment horizontal="right" vertical="center"/>
    </xf>
    <xf numFmtId="2" fontId="18" fillId="0" borderId="1" xfId="0" applyNumberFormat="1" applyFont="1" applyFill="1" applyBorder="1" applyAlignment="1">
      <alignment horizontal="center" vertical="center"/>
    </xf>
    <xf numFmtId="0" fontId="34" fillId="0" borderId="3" xfId="0" applyFont="1" applyFill="1" applyBorder="1" applyAlignment="1">
      <alignment horizontal="center" vertical="center" wrapText="1" shrinkToFit="1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/>
    </xf>
    <xf numFmtId="0" fontId="0" fillId="0" borderId="2" xfId="0" applyFill="1" applyBorder="1"/>
    <xf numFmtId="169" fontId="18" fillId="0" borderId="1" xfId="0" applyNumberFormat="1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 wrapText="1" shrinkToFit="1"/>
    </xf>
    <xf numFmtId="166" fontId="39" fillId="0" borderId="1" xfId="0" applyNumberFormat="1" applyFont="1" applyFill="1" applyBorder="1" applyAlignment="1">
      <alignment horizontal="right" vertical="center"/>
    </xf>
    <xf numFmtId="169" fontId="5" fillId="0" borderId="1" xfId="0" applyNumberFormat="1" applyFont="1" applyFill="1" applyBorder="1" applyAlignment="1">
      <alignment horizontal="center" vertical="center"/>
    </xf>
    <xf numFmtId="168" fontId="5" fillId="0" borderId="1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168" fontId="5" fillId="0" borderId="2" xfId="0" applyNumberFormat="1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 wrapText="1" shrinkToFit="1"/>
    </xf>
    <xf numFmtId="0" fontId="18" fillId="0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/>
    </xf>
    <xf numFmtId="0" fontId="20" fillId="0" borderId="1" xfId="0" applyFont="1" applyFill="1" applyBorder="1" applyAlignment="1">
      <alignment horizontal="center" vertical="center" wrapText="1" shrinkToFit="1"/>
    </xf>
    <xf numFmtId="0" fontId="5" fillId="0" borderId="15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/>
    </xf>
    <xf numFmtId="0" fontId="33" fillId="0" borderId="11" xfId="0" applyFont="1" applyFill="1" applyBorder="1" applyAlignment="1">
      <alignment horizontal="right"/>
    </xf>
    <xf numFmtId="168" fontId="33" fillId="0" borderId="11" xfId="0" applyNumberFormat="1" applyFont="1" applyFill="1" applyBorder="1" applyAlignment="1">
      <alignment horizontal="left"/>
    </xf>
    <xf numFmtId="0" fontId="30" fillId="0" borderId="22" xfId="0" applyFont="1" applyFill="1" applyBorder="1" applyAlignment="1">
      <alignment horizontal="center" vertical="center"/>
    </xf>
    <xf numFmtId="167" fontId="5" fillId="0" borderId="0" xfId="0" applyNumberFormat="1" applyFont="1" applyFill="1"/>
    <xf numFmtId="0" fontId="35" fillId="0" borderId="4" xfId="0" applyFont="1" applyFill="1" applyBorder="1"/>
    <xf numFmtId="0" fontId="36" fillId="0" borderId="5" xfId="0" applyFont="1" applyFill="1" applyBorder="1" applyAlignment="1">
      <alignment horizontal="center"/>
    </xf>
    <xf numFmtId="0" fontId="36" fillId="0" borderId="5" xfId="0" applyFont="1" applyFill="1" applyBorder="1" applyAlignment="1">
      <alignment horizontal="right"/>
    </xf>
    <xf numFmtId="168" fontId="35" fillId="0" borderId="5" xfId="0" applyNumberFormat="1" applyFont="1" applyFill="1" applyBorder="1" applyAlignment="1">
      <alignment horizontal="center"/>
    </xf>
    <xf numFmtId="0" fontId="35" fillId="0" borderId="6" xfId="0" applyFont="1" applyFill="1" applyBorder="1" applyAlignment="1">
      <alignment horizontal="left"/>
    </xf>
    <xf numFmtId="0" fontId="30" fillId="0" borderId="0" xfId="0" applyFont="1" applyFill="1"/>
    <xf numFmtId="0" fontId="19" fillId="0" borderId="0" xfId="0" applyFont="1" applyFill="1" applyAlignment="1">
      <alignment horizontal="center" vertical="center" wrapText="1"/>
    </xf>
    <xf numFmtId="166" fontId="5" fillId="0" borderId="0" xfId="0" applyNumberFormat="1" applyFont="1" applyFill="1"/>
    <xf numFmtId="0" fontId="37" fillId="0" borderId="4" xfId="0" applyFont="1" applyFill="1" applyBorder="1" applyAlignment="1">
      <alignment horizontal="right" vertical="center"/>
    </xf>
    <xf numFmtId="0" fontId="37" fillId="0" borderId="5" xfId="0" applyFont="1" applyFill="1" applyBorder="1" applyAlignment="1">
      <alignment horizontal="right" vertical="center"/>
    </xf>
    <xf numFmtId="2" fontId="5" fillId="0" borderId="0" xfId="0" applyNumberFormat="1" applyFont="1" applyFill="1"/>
    <xf numFmtId="0" fontId="36" fillId="0" borderId="0" xfId="0" applyFont="1" applyFill="1"/>
    <xf numFmtId="0" fontId="36" fillId="0" borderId="0" xfId="0" applyFont="1" applyFill="1" applyAlignment="1">
      <alignment horizontal="center"/>
    </xf>
    <xf numFmtId="0" fontId="36" fillId="0" borderId="0" xfId="0" applyFont="1" applyFill="1" applyAlignment="1">
      <alignment horizontal="right"/>
    </xf>
    <xf numFmtId="167" fontId="5" fillId="0" borderId="0" xfId="0" applyNumberFormat="1" applyFont="1" applyFill="1" applyAlignment="1">
      <alignment horizontal="center"/>
    </xf>
    <xf numFmtId="0" fontId="24" fillId="0" borderId="4" xfId="0" applyFont="1" applyFill="1" applyBorder="1" applyAlignment="1">
      <alignment horizontal="center"/>
    </xf>
    <xf numFmtId="0" fontId="24" fillId="0" borderId="5" xfId="0" applyFont="1" applyFill="1" applyBorder="1" applyAlignment="1">
      <alignment horizontal="center"/>
    </xf>
    <xf numFmtId="168" fontId="24" fillId="0" borderId="5" xfId="0" applyNumberFormat="1" applyFont="1" applyFill="1" applyBorder="1" applyAlignment="1">
      <alignment horizontal="right"/>
    </xf>
    <xf numFmtId="0" fontId="24" fillId="0" borderId="5" xfId="0" applyFont="1" applyFill="1" applyBorder="1" applyAlignment="1">
      <alignment horizontal="left"/>
    </xf>
    <xf numFmtId="0" fontId="24" fillId="0" borderId="6" xfId="0" applyFont="1" applyFill="1" applyBorder="1" applyAlignment="1">
      <alignment horizontal="left"/>
    </xf>
    <xf numFmtId="0" fontId="40" fillId="0" borderId="0" xfId="0" applyFont="1" applyFill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27" fillId="0" borderId="1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42" fillId="0" borderId="8" xfId="0" applyFont="1" applyFill="1" applyBorder="1" applyAlignment="1">
      <alignment horizontal="center" vertical="center"/>
    </xf>
    <xf numFmtId="0" fontId="42" fillId="0" borderId="9" xfId="0" applyFont="1" applyFill="1" applyBorder="1" applyAlignment="1">
      <alignment horizontal="center" vertical="center"/>
    </xf>
    <xf numFmtId="0" fontId="50" fillId="0" borderId="3" xfId="0" applyFont="1" applyFill="1" applyBorder="1" applyAlignment="1">
      <alignment horizontal="right" vertical="center"/>
    </xf>
    <xf numFmtId="0" fontId="50" fillId="0" borderId="3" xfId="0" applyFont="1" applyFill="1" applyBorder="1" applyAlignment="1">
      <alignment vertical="center"/>
    </xf>
    <xf numFmtId="164" fontId="5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vertical="center"/>
    </xf>
    <xf numFmtId="0" fontId="13" fillId="0" borderId="1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46" fillId="0" borderId="3" xfId="0" applyFont="1" applyFill="1" applyBorder="1" applyAlignment="1">
      <alignment horizontal="right"/>
    </xf>
    <xf numFmtId="0" fontId="20" fillId="0" borderId="3" xfId="0" applyFont="1" applyFill="1" applyBorder="1" applyAlignment="1">
      <alignment horizontal="center"/>
    </xf>
    <xf numFmtId="0" fontId="39" fillId="0" borderId="1" xfId="0" applyFont="1" applyFill="1" applyBorder="1" applyAlignment="1">
      <alignment horizontal="center" vertical="center" wrapText="1"/>
    </xf>
    <xf numFmtId="0" fontId="67" fillId="0" borderId="2" xfId="0" applyFont="1" applyFill="1" applyBorder="1" applyAlignment="1">
      <alignment horizontal="center" vertical="center"/>
    </xf>
    <xf numFmtId="166" fontId="46" fillId="0" borderId="3" xfId="0" applyNumberFormat="1" applyFont="1" applyFill="1" applyBorder="1" applyAlignment="1">
      <alignment horizontal="right" vertical="center"/>
    </xf>
    <xf numFmtId="0" fontId="20" fillId="0" borderId="0" xfId="0" applyFont="1" applyFill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67" fillId="0" borderId="1" xfId="0" applyFont="1" applyFill="1" applyBorder="1" applyAlignment="1">
      <alignment horizontal="center" vertical="center" wrapText="1"/>
    </xf>
    <xf numFmtId="0" fontId="39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vertical="center"/>
    </xf>
    <xf numFmtId="0" fontId="12" fillId="0" borderId="3" xfId="0" applyFont="1" applyFill="1" applyBorder="1" applyAlignment="1">
      <alignment horizontal="center" vertical="center"/>
    </xf>
    <xf numFmtId="0" fontId="76" fillId="0" borderId="1" xfId="0" applyFont="1" applyFill="1" applyBorder="1" applyAlignment="1">
      <alignment horizontal="left" vertical="center"/>
    </xf>
    <xf numFmtId="0" fontId="76" fillId="0" borderId="1" xfId="0" applyFont="1" applyFill="1" applyBorder="1" applyAlignment="1">
      <alignment horizontal="center" vertical="center"/>
    </xf>
    <xf numFmtId="0" fontId="20" fillId="0" borderId="1" xfId="0" applyFont="1" applyFill="1" applyBorder="1"/>
    <xf numFmtId="0" fontId="12" fillId="0" borderId="2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/>
    <xf numFmtId="0" fontId="5" fillId="0" borderId="0" xfId="0" applyFont="1" applyFill="1" applyAlignment="1">
      <alignment horizontal="center" vertical="center"/>
    </xf>
    <xf numFmtId="0" fontId="41" fillId="0" borderId="11" xfId="0" applyFont="1" applyFill="1" applyBorder="1" applyAlignment="1">
      <alignment horizontal="right"/>
    </xf>
    <xf numFmtId="168" fontId="19" fillId="0" borderId="12" xfId="0" applyNumberFormat="1" applyFont="1" applyFill="1" applyBorder="1" applyAlignment="1">
      <alignment horizontal="left"/>
    </xf>
    <xf numFmtId="164" fontId="43" fillId="0" borderId="0" xfId="0" applyNumberFormat="1" applyFont="1" applyFill="1"/>
    <xf numFmtId="0" fontId="42" fillId="0" borderId="14" xfId="0" applyFont="1" applyFill="1" applyBorder="1" applyAlignment="1">
      <alignment horizontal="center" vertical="center"/>
    </xf>
    <xf numFmtId="0" fontId="42" fillId="0" borderId="15" xfId="0" applyFont="1" applyFill="1" applyBorder="1" applyAlignment="1">
      <alignment horizontal="center" vertical="center"/>
    </xf>
    <xf numFmtId="167" fontId="5" fillId="0" borderId="0" xfId="0" applyNumberFormat="1" applyFont="1" applyFill="1" applyAlignment="1">
      <alignment vertical="center"/>
    </xf>
    <xf numFmtId="0" fontId="20" fillId="0" borderId="1" xfId="0" applyFont="1" applyFill="1" applyBorder="1" applyAlignment="1">
      <alignment vertical="center"/>
    </xf>
    <xf numFmtId="2" fontId="39" fillId="0" borderId="1" xfId="0" applyNumberFormat="1" applyFont="1" applyFill="1" applyBorder="1" applyAlignment="1">
      <alignment vertical="center"/>
    </xf>
    <xf numFmtId="170" fontId="5" fillId="0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Alignment="1">
      <alignment vertical="center"/>
    </xf>
    <xf numFmtId="2" fontId="15" fillId="0" borderId="1" xfId="0" applyNumberFormat="1" applyFont="1" applyFill="1" applyBorder="1" applyAlignment="1">
      <alignment horizontal="left" vertical="center"/>
    </xf>
    <xf numFmtId="1" fontId="5" fillId="0" borderId="1" xfId="0" applyNumberFormat="1" applyFont="1" applyFill="1" applyBorder="1" applyAlignment="1">
      <alignment horizontal="center" vertical="center"/>
    </xf>
    <xf numFmtId="2" fontId="14" fillId="0" borderId="1" xfId="0" applyNumberFormat="1" applyFont="1" applyFill="1" applyBorder="1" applyAlignment="1">
      <alignment horizontal="center" vertical="center"/>
    </xf>
    <xf numFmtId="165" fontId="18" fillId="0" borderId="1" xfId="0" applyNumberFormat="1" applyFont="1" applyFill="1" applyBorder="1" applyAlignment="1">
      <alignment horizontal="center" vertical="center"/>
    </xf>
    <xf numFmtId="170" fontId="12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>
      <alignment horizontal="center" vertical="center" wrapText="1"/>
    </xf>
    <xf numFmtId="164" fontId="39" fillId="0" borderId="3" xfId="0" applyNumberFormat="1" applyFont="1" applyFill="1" applyBorder="1" applyAlignment="1">
      <alignment horizontal="right" vertical="center"/>
    </xf>
    <xf numFmtId="165" fontId="18" fillId="0" borderId="3" xfId="0" applyNumberFormat="1" applyFont="1" applyFill="1" applyBorder="1" applyAlignment="1">
      <alignment horizontal="center" vertical="center"/>
    </xf>
    <xf numFmtId="169" fontId="12" fillId="0" borderId="3" xfId="0" applyNumberFormat="1" applyFont="1" applyFill="1" applyBorder="1" applyAlignment="1">
      <alignment horizontal="center" vertical="center"/>
    </xf>
    <xf numFmtId="170" fontId="12" fillId="0" borderId="3" xfId="0" applyNumberFormat="1" applyFont="1" applyFill="1" applyBorder="1" applyAlignment="1">
      <alignment horizontal="center"/>
    </xf>
    <xf numFmtId="0" fontId="19" fillId="0" borderId="3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left" vertical="center"/>
    </xf>
    <xf numFmtId="2" fontId="5" fillId="0" borderId="3" xfId="0" applyNumberFormat="1" applyFont="1" applyFill="1" applyBorder="1" applyAlignment="1">
      <alignment horizontal="right" vertical="center"/>
    </xf>
    <xf numFmtId="2" fontId="12" fillId="0" borderId="3" xfId="0" applyNumberFormat="1" applyFont="1" applyFill="1" applyBorder="1" applyAlignment="1">
      <alignment horizontal="center"/>
    </xf>
    <xf numFmtId="0" fontId="18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168" fontId="12" fillId="0" borderId="3" xfId="0" applyNumberFormat="1" applyFont="1" applyFill="1" applyBorder="1" applyAlignment="1">
      <alignment horizontal="center"/>
    </xf>
    <xf numFmtId="170" fontId="18" fillId="0" borderId="1" xfId="0" applyNumberFormat="1" applyFont="1" applyFill="1" applyBorder="1" applyAlignment="1">
      <alignment horizontal="center" vertical="center"/>
    </xf>
    <xf numFmtId="164" fontId="5" fillId="0" borderId="0" xfId="0" applyNumberFormat="1" applyFont="1" applyFill="1" applyAlignment="1">
      <alignment horizontal="center"/>
    </xf>
    <xf numFmtId="0" fontId="5" fillId="0" borderId="16" xfId="0" applyFont="1" applyFill="1" applyBorder="1" applyAlignment="1">
      <alignment horizontal="center" vertical="center"/>
    </xf>
    <xf numFmtId="170" fontId="19" fillId="0" borderId="12" xfId="0" applyNumberFormat="1" applyFont="1" applyFill="1" applyBorder="1" applyAlignment="1">
      <alignment horizontal="left"/>
    </xf>
    <xf numFmtId="0" fontId="42" fillId="0" borderId="7" xfId="0" applyFont="1" applyFill="1" applyBorder="1" applyAlignment="1">
      <alignment horizontal="center" vertical="center"/>
    </xf>
    <xf numFmtId="164" fontId="18" fillId="0" borderId="0" xfId="0" applyNumberFormat="1" applyFont="1" applyFill="1" applyAlignment="1">
      <alignment vertical="center"/>
    </xf>
    <xf numFmtId="164" fontId="5" fillId="0" borderId="0" xfId="0" applyNumberFormat="1" applyFont="1" applyFill="1" applyAlignment="1">
      <alignment horizontal="center" vertical="center"/>
    </xf>
    <xf numFmtId="0" fontId="44" fillId="0" borderId="3" xfId="0" applyFont="1" applyFill="1" applyBorder="1" applyAlignment="1">
      <alignment vertical="center" wrapText="1"/>
    </xf>
    <xf numFmtId="0" fontId="18" fillId="0" borderId="0" xfId="0" applyFont="1" applyFill="1" applyAlignment="1">
      <alignment vertical="center"/>
    </xf>
    <xf numFmtId="0" fontId="5" fillId="0" borderId="3" xfId="0" applyFont="1" applyFill="1" applyBorder="1" applyAlignment="1">
      <alignment vertical="center" wrapText="1"/>
    </xf>
    <xf numFmtId="164" fontId="5" fillId="0" borderId="3" xfId="0" applyNumberFormat="1" applyFont="1" applyFill="1" applyBorder="1" applyAlignment="1">
      <alignment horizontal="center" vertical="center"/>
    </xf>
    <xf numFmtId="168" fontId="5" fillId="0" borderId="3" xfId="0" applyNumberFormat="1" applyFont="1" applyFill="1" applyBorder="1" applyAlignment="1">
      <alignment horizontal="center" vertical="center"/>
    </xf>
    <xf numFmtId="0" fontId="44" fillId="0" borderId="1" xfId="0" applyFont="1" applyFill="1" applyBorder="1" applyAlignment="1">
      <alignment vertical="center" wrapText="1"/>
    </xf>
    <xf numFmtId="0" fontId="5" fillId="0" borderId="7" xfId="0" applyFont="1" applyFill="1" applyBorder="1" applyAlignment="1">
      <alignment vertical="center"/>
    </xf>
    <xf numFmtId="164" fontId="5" fillId="0" borderId="7" xfId="0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vertical="center"/>
    </xf>
    <xf numFmtId="0" fontId="20" fillId="0" borderId="0" xfId="0" applyFont="1" applyFill="1"/>
    <xf numFmtId="0" fontId="41" fillId="0" borderId="13" xfId="0" applyFont="1" applyFill="1" applyBorder="1" applyAlignment="1">
      <alignment horizontal="right"/>
    </xf>
    <xf numFmtId="168" fontId="19" fillId="0" borderId="11" xfId="0" applyNumberFormat="1" applyFont="1" applyFill="1" applyBorder="1" applyAlignment="1">
      <alignment horizontal="left"/>
    </xf>
    <xf numFmtId="0" fontId="36" fillId="0" borderId="0" xfId="0" applyFont="1" applyFill="1" applyAlignment="1">
      <alignment horizontal="left" vertical="center"/>
    </xf>
    <xf numFmtId="0" fontId="36" fillId="0" borderId="0" xfId="0" applyFont="1" applyFill="1" applyAlignment="1">
      <alignment horizontal="center" vertical="center"/>
    </xf>
    <xf numFmtId="167" fontId="35" fillId="0" borderId="5" xfId="0" applyNumberFormat="1" applyFont="1" applyFill="1" applyBorder="1" applyAlignment="1">
      <alignment horizontal="center"/>
    </xf>
    <xf numFmtId="0" fontId="48" fillId="0" borderId="0" xfId="0" applyFont="1" applyFill="1" applyAlignment="1">
      <alignment horizontal="center" vertical="center" wrapText="1"/>
    </xf>
    <xf numFmtId="0" fontId="35" fillId="0" borderId="18" xfId="0" applyFont="1" applyFill="1" applyBorder="1"/>
    <xf numFmtId="0" fontId="36" fillId="0" borderId="19" xfId="0" applyFont="1" applyFill="1" applyBorder="1" applyAlignment="1">
      <alignment horizontal="center"/>
    </xf>
    <xf numFmtId="171" fontId="35" fillId="0" borderId="19" xfId="0" applyNumberFormat="1" applyFont="1" applyFill="1" applyBorder="1" applyAlignment="1">
      <alignment horizontal="center"/>
    </xf>
    <xf numFmtId="0" fontId="35" fillId="0" borderId="20" xfId="0" applyFont="1" applyFill="1" applyBorder="1" applyAlignment="1">
      <alignment horizontal="left"/>
    </xf>
    <xf numFmtId="0" fontId="38" fillId="0" borderId="4" xfId="0" applyFont="1" applyFill="1" applyBorder="1" applyAlignment="1">
      <alignment horizontal="center" vertical="center"/>
    </xf>
    <xf numFmtId="0" fontId="38" fillId="0" borderId="5" xfId="0" applyFont="1" applyFill="1" applyBorder="1" applyAlignment="1">
      <alignment horizontal="center" vertical="center"/>
    </xf>
    <xf numFmtId="171" fontId="22" fillId="0" borderId="5" xfId="0" applyNumberFormat="1" applyFont="1" applyFill="1" applyBorder="1" applyAlignment="1">
      <alignment horizontal="right" vertical="center"/>
    </xf>
    <xf numFmtId="0" fontId="45" fillId="0" borderId="6" xfId="0" applyFont="1" applyFill="1" applyBorder="1" applyAlignment="1">
      <alignment vertical="center"/>
    </xf>
    <xf numFmtId="0" fontId="36" fillId="0" borderId="17" xfId="0" applyFont="1" applyFill="1" applyBorder="1" applyAlignment="1">
      <alignment horizontal="center" vertical="center"/>
    </xf>
    <xf numFmtId="0" fontId="49" fillId="0" borderId="4" xfId="0" applyFont="1" applyFill="1" applyBorder="1" applyAlignment="1">
      <alignment horizontal="right" vertical="center"/>
    </xf>
    <xf numFmtId="0" fontId="49" fillId="0" borderId="5" xfId="0" applyFont="1" applyFill="1" applyBorder="1" applyAlignment="1">
      <alignment horizontal="right" vertical="center"/>
    </xf>
    <xf numFmtId="168" fontId="49" fillId="0" borderId="5" xfId="0" applyNumberFormat="1" applyFont="1" applyFill="1" applyBorder="1" applyAlignment="1">
      <alignment horizontal="right" vertical="center"/>
    </xf>
    <xf numFmtId="0" fontId="49" fillId="0" borderId="6" xfId="0" applyFont="1" applyFill="1" applyBorder="1" applyAlignment="1">
      <alignment horizontal="left" vertical="center"/>
    </xf>
  </cellXfs>
  <cellStyles count="43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7" xr:uid="{00000000-0005-0000-0000-00000C000000}"/>
    <cellStyle name="60% - Accent2 2" xfId="38" xr:uid="{00000000-0005-0000-0000-00000D000000}"/>
    <cellStyle name="60% - Accent3 2" xfId="39" xr:uid="{00000000-0005-0000-0000-00000E000000}"/>
    <cellStyle name="60% - Accent4 2" xfId="40" xr:uid="{00000000-0005-0000-0000-00000F000000}"/>
    <cellStyle name="60% - Accent5 2" xfId="41" xr:uid="{00000000-0005-0000-0000-000010000000}"/>
    <cellStyle name="60% - Accent6 2" xfId="42" xr:uid="{00000000-0005-0000-0000-00001100000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6" xr:uid="{00000000-0005-0000-0000-000023000000}"/>
    <cellStyle name="Normal" xfId="0" builtinId="0"/>
    <cellStyle name="Normal 2" xfId="1" xr:uid="{00000000-0005-0000-0000-000025000000}"/>
    <cellStyle name="Note" xfId="14" builtinId="10" customBuiltin="1"/>
    <cellStyle name="Output" xfId="9" builtinId="21" customBuiltin="1"/>
    <cellStyle name="Title 2" xfId="35" xr:uid="{00000000-0005-0000-0000-000028000000}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colors>
    <mruColors>
      <color rgb="FF03FD50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workbookViewId="0">
      <selection activeCell="G11" sqref="G11"/>
    </sheetView>
  </sheetViews>
  <sheetFormatPr defaultColWidth="9.109375" defaultRowHeight="13.8" x14ac:dyDescent="0.25"/>
  <cols>
    <col min="1" max="1" width="7.33203125" style="13" customWidth="1"/>
    <col min="2" max="2" width="33" style="13" bestFit="1" customWidth="1"/>
    <col min="3" max="3" width="10.33203125" style="13" customWidth="1"/>
    <col min="4" max="4" width="17.33203125" style="27" customWidth="1"/>
    <col min="5" max="5" width="5.44140625" style="27" customWidth="1"/>
    <col min="6" max="7" width="12.88671875" style="34" customWidth="1"/>
    <col min="8" max="8" width="17.5546875" style="27" customWidth="1"/>
    <col min="9" max="9" width="15" style="27" customWidth="1"/>
    <col min="10" max="10" width="11.44140625" style="27" customWidth="1"/>
    <col min="11" max="11" width="11.109375" style="27" customWidth="1"/>
    <col min="12" max="12" width="12.88671875" style="27" bestFit="1" customWidth="1"/>
    <col min="13" max="13" width="32" style="13" customWidth="1"/>
    <col min="14" max="14" width="26.6640625" style="3" bestFit="1" customWidth="1"/>
    <col min="15" max="15" width="17.88671875" style="3" bestFit="1" customWidth="1"/>
    <col min="16" max="16" width="6.5546875" style="3" customWidth="1"/>
    <col min="17" max="16384" width="9.109375" style="3"/>
  </cols>
  <sheetData>
    <row r="1" spans="1:15" s="2" customFormat="1" ht="24" customHeight="1" x14ac:dyDescent="0.4">
      <c r="A1" s="132" t="s">
        <v>92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</row>
    <row r="2" spans="1:15" ht="18.75" customHeight="1" x14ac:dyDescent="0.3">
      <c r="A2" s="133" t="s">
        <v>148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</row>
    <row r="3" spans="1:15" s="10" customFormat="1" ht="57.6" x14ac:dyDescent="0.3">
      <c r="A3" s="4" t="s">
        <v>101</v>
      </c>
      <c r="B3" s="5" t="s">
        <v>2</v>
      </c>
      <c r="C3" s="6" t="s">
        <v>3</v>
      </c>
      <c r="D3" s="6" t="s">
        <v>4</v>
      </c>
      <c r="E3" s="7" t="s">
        <v>5</v>
      </c>
      <c r="F3" s="8" t="s">
        <v>134</v>
      </c>
      <c r="G3" s="8" t="s">
        <v>133</v>
      </c>
      <c r="H3" s="8" t="s">
        <v>6</v>
      </c>
      <c r="I3" s="6" t="s">
        <v>135</v>
      </c>
      <c r="J3" s="6" t="s">
        <v>136</v>
      </c>
      <c r="K3" s="6" t="s">
        <v>137</v>
      </c>
      <c r="L3" s="6" t="s">
        <v>138</v>
      </c>
      <c r="M3" s="9" t="s">
        <v>8</v>
      </c>
    </row>
    <row r="4" spans="1:15" s="52" customFormat="1" ht="24.75" customHeight="1" x14ac:dyDescent="0.3">
      <c r="A4" s="46">
        <v>1</v>
      </c>
      <c r="B4" s="47" t="s">
        <v>116</v>
      </c>
      <c r="C4" s="46">
        <v>33</v>
      </c>
      <c r="D4" s="48" t="s">
        <v>81</v>
      </c>
      <c r="E4" s="46">
        <v>120</v>
      </c>
      <c r="F4" s="49">
        <v>981.17</v>
      </c>
      <c r="G4" s="49">
        <v>1020.542</v>
      </c>
      <c r="H4" s="50">
        <f>G4-F4</f>
        <v>39.372000000000071</v>
      </c>
      <c r="I4" s="46">
        <f t="shared" ref="I4:I13" si="0">H4*E4*1000</f>
        <v>4724640.0000000084</v>
      </c>
      <c r="J4" s="46"/>
      <c r="K4" s="46">
        <f>I4-J4</f>
        <v>4724640.0000000084</v>
      </c>
      <c r="L4" s="11">
        <f t="shared" ref="L4:L11" si="1">K4/1000000</f>
        <v>4.7246400000000079</v>
      </c>
      <c r="M4" s="51"/>
    </row>
    <row r="5" spans="1:15" s="59" customFormat="1" ht="18" customHeight="1" x14ac:dyDescent="0.3">
      <c r="A5" s="46">
        <v>2</v>
      </c>
      <c r="B5" s="53" t="s">
        <v>14</v>
      </c>
      <c r="C5" s="46">
        <v>33</v>
      </c>
      <c r="D5" s="54" t="s">
        <v>82</v>
      </c>
      <c r="E5" s="55">
        <v>120</v>
      </c>
      <c r="F5" s="56">
        <v>990.64</v>
      </c>
      <c r="G5" s="49">
        <v>1012.303</v>
      </c>
      <c r="H5" s="57">
        <f t="shared" ref="H5:H13" si="2">G5-F5</f>
        <v>21.663000000000011</v>
      </c>
      <c r="I5" s="55">
        <f t="shared" si="0"/>
        <v>2599560.0000000014</v>
      </c>
      <c r="J5" s="55"/>
      <c r="K5" s="55">
        <f>I5-J5</f>
        <v>2599560.0000000014</v>
      </c>
      <c r="L5" s="58">
        <f>K5/1000000</f>
        <v>2.5995600000000012</v>
      </c>
      <c r="M5" s="51"/>
    </row>
    <row r="6" spans="1:15" s="59" customFormat="1" ht="15.6" x14ac:dyDescent="0.3">
      <c r="A6" s="46">
        <v>3</v>
      </c>
      <c r="B6" s="53" t="s">
        <v>113</v>
      </c>
      <c r="C6" s="46">
        <v>33</v>
      </c>
      <c r="D6" s="54" t="s">
        <v>83</v>
      </c>
      <c r="E6" s="55">
        <v>180</v>
      </c>
      <c r="F6" s="49">
        <v>700.82</v>
      </c>
      <c r="G6" s="49">
        <v>722.87300000000005</v>
      </c>
      <c r="H6" s="57">
        <f t="shared" si="2"/>
        <v>22.052999999999997</v>
      </c>
      <c r="I6" s="55">
        <f t="shared" si="0"/>
        <v>3969539.9999999995</v>
      </c>
      <c r="J6" s="55"/>
      <c r="K6" s="55">
        <f>I6-J6</f>
        <v>3969539.9999999995</v>
      </c>
      <c r="L6" s="58">
        <f t="shared" si="1"/>
        <v>3.9695399999999994</v>
      </c>
      <c r="M6" s="51"/>
    </row>
    <row r="7" spans="1:15" s="62" customFormat="1" ht="26.4" x14ac:dyDescent="0.3">
      <c r="A7" s="46">
        <v>4</v>
      </c>
      <c r="B7" s="60" t="s">
        <v>97</v>
      </c>
      <c r="C7" s="46">
        <v>33</v>
      </c>
      <c r="D7" s="48" t="s">
        <v>84</v>
      </c>
      <c r="E7" s="46">
        <v>180</v>
      </c>
      <c r="F7" s="49">
        <v>365.07</v>
      </c>
      <c r="G7" s="49">
        <v>375.58300000000003</v>
      </c>
      <c r="H7" s="50">
        <f t="shared" si="2"/>
        <v>10.513000000000034</v>
      </c>
      <c r="I7" s="46">
        <f t="shared" si="0"/>
        <v>1892340.0000000061</v>
      </c>
      <c r="J7" s="46"/>
      <c r="K7" s="46">
        <f>I7-J7</f>
        <v>1892340.0000000061</v>
      </c>
      <c r="L7" s="11">
        <f t="shared" si="1"/>
        <v>1.8923400000000061</v>
      </c>
      <c r="M7" s="61"/>
    </row>
    <row r="8" spans="1:15" s="13" customFormat="1" ht="19.5" customHeight="1" x14ac:dyDescent="0.3">
      <c r="A8" s="42">
        <v>5</v>
      </c>
      <c r="B8" s="63" t="s">
        <v>114</v>
      </c>
      <c r="C8" s="42">
        <v>33</v>
      </c>
      <c r="D8" s="64" t="s">
        <v>85</v>
      </c>
      <c r="E8" s="42">
        <v>120</v>
      </c>
      <c r="F8" s="49">
        <v>693.13</v>
      </c>
      <c r="G8" s="49">
        <v>725.86800000000005</v>
      </c>
      <c r="H8" s="12">
        <f t="shared" si="2"/>
        <v>32.738000000000056</v>
      </c>
      <c r="I8" s="42">
        <f t="shared" si="0"/>
        <v>3928560.000000007</v>
      </c>
      <c r="J8" s="63"/>
      <c r="K8" s="65">
        <f>I8-J8</f>
        <v>3928560.000000007</v>
      </c>
      <c r="L8" s="66">
        <f t="shared" si="1"/>
        <v>3.9285600000000072</v>
      </c>
      <c r="M8" s="51"/>
    </row>
    <row r="9" spans="1:15" s="52" customFormat="1" ht="18" customHeight="1" x14ac:dyDescent="0.3">
      <c r="A9" s="46">
        <v>6</v>
      </c>
      <c r="B9" s="60" t="s">
        <v>115</v>
      </c>
      <c r="C9" s="46">
        <v>33</v>
      </c>
      <c r="D9" s="48" t="s">
        <v>86</v>
      </c>
      <c r="E9" s="46">
        <v>90</v>
      </c>
      <c r="F9" s="67">
        <v>364.86</v>
      </c>
      <c r="G9" s="124">
        <v>386.23399999999998</v>
      </c>
      <c r="H9" s="12">
        <f t="shared" si="2"/>
        <v>21.373999999999967</v>
      </c>
      <c r="I9" s="46">
        <f>H9*E9*1000</f>
        <v>1923659.9999999972</v>
      </c>
      <c r="J9" s="46"/>
      <c r="K9" s="46">
        <f>I9</f>
        <v>1923659.9999999972</v>
      </c>
      <c r="L9" s="11">
        <f t="shared" si="1"/>
        <v>1.9236599999999973</v>
      </c>
      <c r="N9" s="68"/>
      <c r="O9" s="69"/>
    </row>
    <row r="10" spans="1:15" s="52" customFormat="1" ht="18" customHeight="1" x14ac:dyDescent="0.3">
      <c r="A10" s="122"/>
      <c r="B10" s="70" t="s">
        <v>147</v>
      </c>
      <c r="C10" s="122">
        <v>33</v>
      </c>
      <c r="D10" s="71" t="s">
        <v>140</v>
      </c>
      <c r="E10" s="123">
        <v>2</v>
      </c>
      <c r="F10" s="67">
        <v>6702.7</v>
      </c>
      <c r="G10" s="124">
        <v>7865.5</v>
      </c>
      <c r="H10" s="12">
        <f t="shared" si="2"/>
        <v>1162.8000000000002</v>
      </c>
      <c r="I10" s="46">
        <f>H10*E10*1000</f>
        <v>2325600.0000000005</v>
      </c>
      <c r="J10" s="123"/>
      <c r="K10" s="46">
        <f>I10</f>
        <v>2325600.0000000005</v>
      </c>
      <c r="L10" s="11">
        <f t="shared" si="1"/>
        <v>2.3256000000000006</v>
      </c>
      <c r="N10" s="68"/>
      <c r="O10" s="69"/>
    </row>
    <row r="11" spans="1:15" s="62" customFormat="1" ht="27.6" x14ac:dyDescent="0.3">
      <c r="A11" s="72"/>
      <c r="B11" s="70" t="s">
        <v>28</v>
      </c>
      <c r="C11" s="122">
        <v>33</v>
      </c>
      <c r="D11" s="71">
        <v>8876696</v>
      </c>
      <c r="E11" s="123">
        <v>12</v>
      </c>
      <c r="F11" s="73">
        <v>0.747</v>
      </c>
      <c r="G11" s="125">
        <v>2.222</v>
      </c>
      <c r="H11" s="74">
        <f>G11-F11</f>
        <v>1.4750000000000001</v>
      </c>
      <c r="I11" s="123">
        <f>H11*E11*1000</f>
        <v>17700.000000000004</v>
      </c>
      <c r="J11" s="123"/>
      <c r="K11" s="123">
        <f>I11-J11</f>
        <v>17700.000000000004</v>
      </c>
      <c r="L11" s="75">
        <f t="shared" si="1"/>
        <v>1.7700000000000004E-2</v>
      </c>
      <c r="M11" s="76" t="s">
        <v>144</v>
      </c>
      <c r="N11" s="77"/>
      <c r="O11" s="78"/>
    </row>
    <row r="12" spans="1:15" s="62" customFormat="1" ht="15.6" x14ac:dyDescent="0.3">
      <c r="A12" s="79"/>
      <c r="B12" s="70" t="s">
        <v>129</v>
      </c>
      <c r="C12" s="122">
        <v>33</v>
      </c>
      <c r="D12" s="71">
        <v>8876908</v>
      </c>
      <c r="E12" s="123">
        <v>24</v>
      </c>
      <c r="F12" s="73">
        <v>1.4375</v>
      </c>
      <c r="G12" s="73">
        <v>1.4375</v>
      </c>
      <c r="H12" s="74">
        <f>G12-F12</f>
        <v>0</v>
      </c>
      <c r="I12" s="123"/>
      <c r="J12" s="80">
        <f>H12*E12</f>
        <v>0</v>
      </c>
      <c r="K12" s="80">
        <f>-J12</f>
        <v>0</v>
      </c>
      <c r="L12" s="81">
        <f>K12/1000</f>
        <v>0</v>
      </c>
      <c r="M12" s="14" t="s">
        <v>132</v>
      </c>
      <c r="N12" s="77"/>
      <c r="O12" s="78"/>
    </row>
    <row r="13" spans="1:15" s="52" customFormat="1" ht="15.6" x14ac:dyDescent="0.25">
      <c r="A13" s="122">
        <v>8</v>
      </c>
      <c r="B13" s="82" t="s">
        <v>15</v>
      </c>
      <c r="C13" s="123">
        <v>33</v>
      </c>
      <c r="D13" s="64" t="s">
        <v>87</v>
      </c>
      <c r="E13" s="83">
        <v>60</v>
      </c>
      <c r="F13" s="119">
        <v>319.83999999999997</v>
      </c>
      <c r="G13" s="119">
        <v>323.06</v>
      </c>
      <c r="H13" s="84">
        <f t="shared" si="2"/>
        <v>3.2200000000000273</v>
      </c>
      <c r="I13" s="83">
        <f t="shared" si="0"/>
        <v>193200.00000000163</v>
      </c>
      <c r="J13" s="83"/>
      <c r="K13" s="83">
        <f>I13-J13</f>
        <v>193200.00000000163</v>
      </c>
      <c r="L13" s="85">
        <f t="shared" ref="L13:L18" si="3">K13/1000000</f>
        <v>0.19320000000000162</v>
      </c>
      <c r="M13" s="51"/>
    </row>
    <row r="14" spans="1:15" s="59" customFormat="1" ht="15.6" x14ac:dyDescent="0.25">
      <c r="A14" s="122">
        <v>9</v>
      </c>
      <c r="B14" s="82" t="s">
        <v>31</v>
      </c>
      <c r="C14" s="122">
        <v>33</v>
      </c>
      <c r="D14" s="48" t="s">
        <v>65</v>
      </c>
      <c r="E14" s="46">
        <v>120</v>
      </c>
      <c r="F14" s="86">
        <v>1097.4100000000001</v>
      </c>
      <c r="G14" s="126">
        <v>1128.6600000000001</v>
      </c>
      <c r="H14" s="87">
        <f t="shared" ref="H14:H18" si="4">G14-F14</f>
        <v>31.25</v>
      </c>
      <c r="I14" s="46">
        <f>E14*H14*1000</f>
        <v>3750000</v>
      </c>
      <c r="J14" s="46"/>
      <c r="K14" s="55">
        <f t="shared" ref="K14:K18" si="5">I14</f>
        <v>3750000</v>
      </c>
      <c r="L14" s="58">
        <f t="shared" si="3"/>
        <v>3.75</v>
      </c>
      <c r="M14" s="120"/>
      <c r="N14" s="88"/>
    </row>
    <row r="15" spans="1:15" s="59" customFormat="1" ht="15.6" x14ac:dyDescent="0.3">
      <c r="A15" s="122">
        <v>10</v>
      </c>
      <c r="B15" s="82" t="s">
        <v>110</v>
      </c>
      <c r="C15" s="122">
        <v>33</v>
      </c>
      <c r="D15" s="54" t="s">
        <v>66</v>
      </c>
      <c r="E15" s="55">
        <v>120</v>
      </c>
      <c r="F15" s="89">
        <v>398.43</v>
      </c>
      <c r="G15" s="127">
        <v>413.77</v>
      </c>
      <c r="H15" s="87">
        <f t="shared" si="4"/>
        <v>15.339999999999975</v>
      </c>
      <c r="I15" s="46">
        <f>E15*H15*1000</f>
        <v>1840799.999999997</v>
      </c>
      <c r="J15" s="55"/>
      <c r="K15" s="55">
        <f t="shared" si="5"/>
        <v>1840799.999999997</v>
      </c>
      <c r="L15" s="58">
        <f t="shared" si="3"/>
        <v>1.8407999999999969</v>
      </c>
      <c r="M15" s="46"/>
      <c r="N15" s="88"/>
    </row>
    <row r="16" spans="1:15" s="59" customFormat="1" ht="15.6" x14ac:dyDescent="0.3">
      <c r="A16" s="122">
        <v>11</v>
      </c>
      <c r="B16" s="82" t="s">
        <v>111</v>
      </c>
      <c r="C16" s="122">
        <v>33</v>
      </c>
      <c r="D16" s="54" t="s">
        <v>67</v>
      </c>
      <c r="E16" s="55">
        <v>120</v>
      </c>
      <c r="F16" s="89">
        <v>583.91999999999996</v>
      </c>
      <c r="G16" s="127">
        <v>604.58000000000004</v>
      </c>
      <c r="H16" s="87">
        <f t="shared" si="4"/>
        <v>20.660000000000082</v>
      </c>
      <c r="I16" s="46">
        <f>E16*H16*1000</f>
        <v>2479200.0000000098</v>
      </c>
      <c r="J16" s="55"/>
      <c r="K16" s="55">
        <f t="shared" si="5"/>
        <v>2479200.0000000098</v>
      </c>
      <c r="L16" s="58">
        <f t="shared" si="3"/>
        <v>2.4792000000000098</v>
      </c>
      <c r="M16" s="46"/>
      <c r="N16" s="88"/>
    </row>
    <row r="17" spans="1:14" s="59" customFormat="1" ht="15.6" x14ac:dyDescent="0.3">
      <c r="A17" s="90">
        <v>12</v>
      </c>
      <c r="B17" s="82" t="s">
        <v>112</v>
      </c>
      <c r="C17" s="122">
        <v>33</v>
      </c>
      <c r="D17" s="54" t="s">
        <v>68</v>
      </c>
      <c r="E17" s="55">
        <v>120</v>
      </c>
      <c r="F17" s="89">
        <v>504.63</v>
      </c>
      <c r="G17" s="127">
        <v>519.95000000000005</v>
      </c>
      <c r="H17" s="87">
        <f t="shared" si="4"/>
        <v>15.32000000000005</v>
      </c>
      <c r="I17" s="46">
        <f>E17*H17*1000</f>
        <v>1838400.0000000061</v>
      </c>
      <c r="J17" s="55"/>
      <c r="K17" s="55">
        <f t="shared" si="5"/>
        <v>1838400.0000000061</v>
      </c>
      <c r="L17" s="58">
        <f t="shared" si="3"/>
        <v>1.838400000000006</v>
      </c>
      <c r="M17" s="46"/>
      <c r="N17" s="88"/>
    </row>
    <row r="18" spans="1:14" ht="15.6" x14ac:dyDescent="0.3">
      <c r="A18" s="90">
        <v>13</v>
      </c>
      <c r="B18" s="91" t="s">
        <v>57</v>
      </c>
      <c r="C18" s="122">
        <v>33</v>
      </c>
      <c r="D18" s="54" t="s">
        <v>69</v>
      </c>
      <c r="E18" s="55">
        <v>120</v>
      </c>
      <c r="F18" s="92">
        <v>260.42</v>
      </c>
      <c r="G18" s="128">
        <v>269.64</v>
      </c>
      <c r="H18" s="87">
        <f t="shared" si="4"/>
        <v>9.2199999999999704</v>
      </c>
      <c r="I18" s="46">
        <f>E18*H18*1000</f>
        <v>1106399.9999999965</v>
      </c>
      <c r="J18" s="55"/>
      <c r="K18" s="55">
        <f t="shared" si="5"/>
        <v>1106399.9999999965</v>
      </c>
      <c r="L18" s="58">
        <f t="shared" si="3"/>
        <v>1.1063999999999965</v>
      </c>
      <c r="M18" s="46"/>
    </row>
    <row r="19" spans="1:14" ht="15.6" x14ac:dyDescent="0.3">
      <c r="A19" s="122">
        <v>14</v>
      </c>
      <c r="B19" s="93" t="s">
        <v>51</v>
      </c>
      <c r="C19" s="122">
        <v>11</v>
      </c>
      <c r="D19" s="94">
        <v>8876856</v>
      </c>
      <c r="E19" s="95">
        <v>4</v>
      </c>
      <c r="F19" s="96">
        <v>896.75699999999995</v>
      </c>
      <c r="G19" s="96">
        <v>987.95100000000002</v>
      </c>
      <c r="H19" s="97">
        <f>G19-F19</f>
        <v>91.194000000000074</v>
      </c>
      <c r="I19" s="122"/>
      <c r="J19" s="98">
        <f>H19*E19*1000</f>
        <v>364776.00000000029</v>
      </c>
      <c r="K19" s="98">
        <f>J19</f>
        <v>364776.00000000029</v>
      </c>
      <c r="L19" s="99">
        <f>-K19/1000000</f>
        <v>-0.36477600000000027</v>
      </c>
      <c r="M19" s="123"/>
    </row>
    <row r="20" spans="1:14" ht="15.75" customHeight="1" x14ac:dyDescent="0.25">
      <c r="A20" s="90">
        <v>15</v>
      </c>
      <c r="B20" s="142" t="s">
        <v>44</v>
      </c>
      <c r="C20" s="136">
        <v>33</v>
      </c>
      <c r="D20" s="140">
        <v>8876931</v>
      </c>
      <c r="E20" s="100">
        <v>6</v>
      </c>
      <c r="F20" s="101">
        <v>60.896999999999998</v>
      </c>
      <c r="G20" s="101">
        <v>63.759</v>
      </c>
      <c r="H20" s="100">
        <f>G20-F20</f>
        <v>2.8620000000000019</v>
      </c>
      <c r="I20" s="100"/>
      <c r="J20" s="102">
        <f>H20*E20*1000</f>
        <v>17172.000000000011</v>
      </c>
      <c r="K20" s="102">
        <f>J20</f>
        <v>17172.000000000011</v>
      </c>
      <c r="L20" s="103">
        <f>-K20/1000000</f>
        <v>-1.717200000000001E-2</v>
      </c>
      <c r="M20" s="15" t="s">
        <v>46</v>
      </c>
      <c r="N20" s="130"/>
    </row>
    <row r="21" spans="1:14" ht="15.75" customHeight="1" x14ac:dyDescent="0.25">
      <c r="A21" s="90">
        <v>16</v>
      </c>
      <c r="B21" s="143"/>
      <c r="C21" s="137"/>
      <c r="D21" s="141"/>
      <c r="E21" s="100">
        <v>6</v>
      </c>
      <c r="F21" s="104">
        <v>21.7775</v>
      </c>
      <c r="G21" s="104">
        <v>24.068999999999999</v>
      </c>
      <c r="H21" s="100">
        <f>G21-F21</f>
        <v>2.2914999999999992</v>
      </c>
      <c r="I21" s="100">
        <f>H21*E21*1000</f>
        <v>13748.999999999995</v>
      </c>
      <c r="J21" s="102"/>
      <c r="K21" s="100">
        <f>I21</f>
        <v>13748.999999999995</v>
      </c>
      <c r="L21" s="105">
        <f>K21/1000000</f>
        <v>1.3748999999999994E-2</v>
      </c>
      <c r="M21" s="106" t="s">
        <v>45</v>
      </c>
      <c r="N21" s="130"/>
    </row>
    <row r="22" spans="1:14" x14ac:dyDescent="0.25">
      <c r="A22" s="122">
        <v>17</v>
      </c>
      <c r="B22" s="135" t="s">
        <v>124</v>
      </c>
      <c r="C22" s="136">
        <v>33</v>
      </c>
      <c r="D22" s="138">
        <v>8876928</v>
      </c>
      <c r="E22" s="100">
        <v>24</v>
      </c>
      <c r="F22" s="107">
        <v>590.81949999999995</v>
      </c>
      <c r="G22" s="129">
        <v>646.32299999999998</v>
      </c>
      <c r="H22" s="108">
        <f t="shared" ref="H22:H29" si="6">G22-F22</f>
        <v>55.503500000000031</v>
      </c>
      <c r="I22" s="100">
        <f>H22*E22</f>
        <v>1332.0840000000007</v>
      </c>
      <c r="J22" s="102"/>
      <c r="K22" s="100">
        <f>I22</f>
        <v>1332.0840000000007</v>
      </c>
      <c r="L22" s="105">
        <f>K22/1000</f>
        <v>1.3320840000000007</v>
      </c>
      <c r="M22" s="15"/>
    </row>
    <row r="23" spans="1:14" x14ac:dyDescent="0.25">
      <c r="A23" s="90">
        <v>18</v>
      </c>
      <c r="B23" s="135"/>
      <c r="C23" s="137"/>
      <c r="D23" s="139"/>
      <c r="E23" s="100">
        <v>24</v>
      </c>
      <c r="F23" s="109">
        <v>22.67</v>
      </c>
      <c r="G23" s="104">
        <v>23.802</v>
      </c>
      <c r="H23" s="108">
        <f t="shared" si="6"/>
        <v>1.1319999999999979</v>
      </c>
      <c r="I23" s="100"/>
      <c r="J23" s="102">
        <f>H23*E23</f>
        <v>27.16799999999995</v>
      </c>
      <c r="K23" s="102">
        <f>J23</f>
        <v>27.16799999999995</v>
      </c>
      <c r="L23" s="103">
        <f>-K23/1000</f>
        <v>-2.7167999999999949E-2</v>
      </c>
      <c r="M23" s="15"/>
    </row>
    <row r="24" spans="1:14" s="16" customFormat="1" ht="27.6" x14ac:dyDescent="0.3">
      <c r="A24" s="90">
        <v>19</v>
      </c>
      <c r="B24" s="110" t="s">
        <v>142</v>
      </c>
      <c r="C24" s="44">
        <v>33</v>
      </c>
      <c r="D24" s="45">
        <v>23081416</v>
      </c>
      <c r="E24" s="43">
        <v>12</v>
      </c>
      <c r="F24" s="111">
        <v>322.45999999999998</v>
      </c>
      <c r="G24" s="111">
        <v>357.37</v>
      </c>
      <c r="H24" s="112">
        <f t="shared" si="6"/>
        <v>34.910000000000025</v>
      </c>
      <c r="I24" s="43"/>
      <c r="J24" s="113">
        <f>H24*E24</f>
        <v>418.9200000000003</v>
      </c>
      <c r="K24" s="113"/>
      <c r="L24" s="114">
        <f>-J24/1000</f>
        <v>-0.41892000000000029</v>
      </c>
      <c r="M24" s="15" t="s">
        <v>143</v>
      </c>
    </row>
    <row r="25" spans="1:14" s="117" customFormat="1" ht="15.6" x14ac:dyDescent="0.25">
      <c r="A25" s="120">
        <v>20</v>
      </c>
      <c r="B25" s="115" t="s">
        <v>61</v>
      </c>
      <c r="C25" s="44">
        <v>11</v>
      </c>
      <c r="D25" s="121" t="s">
        <v>62</v>
      </c>
      <c r="E25" s="100">
        <v>4</v>
      </c>
      <c r="F25" s="116">
        <v>4303.54</v>
      </c>
      <c r="G25" s="116">
        <v>4521.92</v>
      </c>
      <c r="H25" s="108">
        <f t="shared" si="6"/>
        <v>218.38000000000011</v>
      </c>
      <c r="I25" s="100"/>
      <c r="J25" s="102">
        <f>H25*E25*1000</f>
        <v>873520.00000000047</v>
      </c>
      <c r="K25" s="102">
        <f>J25</f>
        <v>873520.00000000047</v>
      </c>
      <c r="L25" s="103">
        <f>-K25/1000000</f>
        <v>-0.87352000000000052</v>
      </c>
      <c r="M25" s="15" t="s">
        <v>63</v>
      </c>
    </row>
    <row r="26" spans="1:14" ht="27.6" x14ac:dyDescent="0.25">
      <c r="A26" s="131">
        <v>21</v>
      </c>
      <c r="B26" s="152" t="s">
        <v>80</v>
      </c>
      <c r="C26" s="134">
        <v>33</v>
      </c>
      <c r="D26" s="149">
        <v>8635126</v>
      </c>
      <c r="E26" s="17">
        <v>24</v>
      </c>
      <c r="F26" s="18">
        <v>12.73</v>
      </c>
      <c r="G26" s="18">
        <v>12.73</v>
      </c>
      <c r="H26" s="12">
        <f t="shared" si="6"/>
        <v>0</v>
      </c>
      <c r="I26" s="12"/>
      <c r="J26" s="19">
        <f>E26*H26*1000</f>
        <v>0</v>
      </c>
      <c r="K26" s="19">
        <f>J26</f>
        <v>0</v>
      </c>
      <c r="L26" s="20">
        <f>-K26/1000000</f>
        <v>0</v>
      </c>
      <c r="M26" s="14" t="s">
        <v>119</v>
      </c>
    </row>
    <row r="27" spans="1:14" ht="27.6" x14ac:dyDescent="0.25">
      <c r="A27" s="131"/>
      <c r="B27" s="153"/>
      <c r="C27" s="134"/>
      <c r="D27" s="149"/>
      <c r="E27" s="17">
        <v>24</v>
      </c>
      <c r="F27" s="18">
        <v>0.51</v>
      </c>
      <c r="G27" s="18">
        <v>0.51</v>
      </c>
      <c r="H27" s="12">
        <f t="shared" si="6"/>
        <v>0</v>
      </c>
      <c r="I27" s="12">
        <f>H27*E27*1000</f>
        <v>0</v>
      </c>
      <c r="J27" s="21"/>
      <c r="K27" s="22">
        <f>I27</f>
        <v>0</v>
      </c>
      <c r="L27" s="11">
        <f>K27/1000000</f>
        <v>0</v>
      </c>
      <c r="M27" s="23" t="s">
        <v>120</v>
      </c>
    </row>
    <row r="28" spans="1:14" ht="41.4" x14ac:dyDescent="0.25">
      <c r="A28" s="131"/>
      <c r="B28" s="153"/>
      <c r="C28" s="134"/>
      <c r="D28" s="150">
        <v>8867261</v>
      </c>
      <c r="E28" s="17">
        <v>120</v>
      </c>
      <c r="F28" s="118">
        <v>4.8620999999999999</v>
      </c>
      <c r="G28" s="118">
        <v>5.13</v>
      </c>
      <c r="H28" s="12">
        <f t="shared" si="6"/>
        <v>0.26790000000000003</v>
      </c>
      <c r="I28" s="12"/>
      <c r="J28" s="21">
        <f>H28*E28</f>
        <v>32.148000000000003</v>
      </c>
      <c r="K28" s="22"/>
      <c r="L28" s="20">
        <f>-J28/1000</f>
        <v>-3.2148000000000003E-2</v>
      </c>
      <c r="M28" s="14" t="s">
        <v>127</v>
      </c>
    </row>
    <row r="29" spans="1:14" ht="41.4" x14ac:dyDescent="0.25">
      <c r="A29" s="131"/>
      <c r="B29" s="154"/>
      <c r="C29" s="134"/>
      <c r="D29" s="151"/>
      <c r="E29" s="17">
        <v>120</v>
      </c>
      <c r="F29" s="118">
        <v>24.5809</v>
      </c>
      <c r="G29" s="118">
        <v>24.5809</v>
      </c>
      <c r="H29" s="12">
        <f t="shared" si="6"/>
        <v>0</v>
      </c>
      <c r="I29" s="12">
        <f>H29*E29</f>
        <v>0</v>
      </c>
      <c r="J29" s="21"/>
      <c r="K29" s="22">
        <f>I29</f>
        <v>0</v>
      </c>
      <c r="L29" s="11">
        <f>K29/1000</f>
        <v>0</v>
      </c>
      <c r="M29" s="23" t="s">
        <v>128</v>
      </c>
    </row>
    <row r="30" spans="1:14" ht="14.25" customHeight="1" x14ac:dyDescent="0.25">
      <c r="A30" s="24"/>
      <c r="B30" s="25"/>
      <c r="D30" s="26"/>
      <c r="F30" s="28"/>
      <c r="G30" s="28"/>
      <c r="H30" s="29"/>
      <c r="I30" s="29"/>
      <c r="J30" s="30"/>
      <c r="K30" s="31"/>
      <c r="L30" s="32"/>
      <c r="M30" s="33"/>
    </row>
    <row r="31" spans="1:14" ht="16.2" thickBot="1" x14ac:dyDescent="0.35">
      <c r="I31" s="35"/>
      <c r="L31" s="36">
        <f>SUM(L4:L30)</f>
        <v>32.201729000000029</v>
      </c>
    </row>
    <row r="32" spans="1:14" ht="15.6" x14ac:dyDescent="0.3">
      <c r="I32" s="35"/>
      <c r="L32" s="37"/>
    </row>
    <row r="33" spans="2:13" ht="15.6" x14ac:dyDescent="0.3">
      <c r="I33" s="35"/>
      <c r="L33" s="37"/>
    </row>
    <row r="34" spans="2:13" ht="16.2" thickBot="1" x14ac:dyDescent="0.35">
      <c r="I34" s="35"/>
      <c r="L34" s="37"/>
    </row>
    <row r="35" spans="2:13" ht="18.600000000000001" thickBot="1" x14ac:dyDescent="0.3">
      <c r="B35" s="147" t="s">
        <v>93</v>
      </c>
      <c r="C35" s="148"/>
      <c r="D35" s="148"/>
      <c r="E35" s="148"/>
      <c r="F35" s="148"/>
      <c r="G35" s="148"/>
      <c r="H35" s="148"/>
      <c r="I35" s="38">
        <f>L31</f>
        <v>32.201729000000029</v>
      </c>
      <c r="J35" s="39" t="s">
        <v>34</v>
      </c>
      <c r="K35" s="40"/>
      <c r="L35" s="40"/>
    </row>
    <row r="36" spans="2:13" ht="60.6" thickBot="1" x14ac:dyDescent="0.3">
      <c r="B36" s="144" t="s">
        <v>94</v>
      </c>
      <c r="C36" s="145"/>
      <c r="D36" s="145"/>
      <c r="E36" s="145"/>
      <c r="F36" s="145"/>
      <c r="G36" s="146">
        <f>I35</f>
        <v>32.201729000000029</v>
      </c>
      <c r="H36" s="146"/>
      <c r="I36" s="146"/>
      <c r="J36" s="146"/>
      <c r="K36" s="146"/>
      <c r="L36" s="146"/>
      <c r="M36" s="41" t="s">
        <v>34</v>
      </c>
    </row>
    <row r="39" spans="2:13" x14ac:dyDescent="0.25">
      <c r="D39" s="35"/>
    </row>
    <row r="40" spans="2:13" x14ac:dyDescent="0.25">
      <c r="D40" s="35"/>
    </row>
  </sheetData>
  <mergeCells count="17">
    <mergeCell ref="B36:F36"/>
    <mergeCell ref="G36:L36"/>
    <mergeCell ref="B35:H35"/>
    <mergeCell ref="D26:D27"/>
    <mergeCell ref="D28:D29"/>
    <mergeCell ref="B26:B29"/>
    <mergeCell ref="N20:N21"/>
    <mergeCell ref="A26:A29"/>
    <mergeCell ref="A1:M1"/>
    <mergeCell ref="A2:M2"/>
    <mergeCell ref="C26:C29"/>
    <mergeCell ref="B22:B23"/>
    <mergeCell ref="C22:C23"/>
    <mergeCell ref="D22:D23"/>
    <mergeCell ref="D20:D21"/>
    <mergeCell ref="C20:C21"/>
    <mergeCell ref="B20:B21"/>
  </mergeCells>
  <pageMargins left="0.56000000000000005" right="0.15" top="0.75" bottom="0.45" header="0.3" footer="0.3"/>
  <pageSetup paperSize="5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7"/>
  <sheetViews>
    <sheetView topLeftCell="A15" workbookViewId="0">
      <selection activeCell="G22" sqref="A1:XFD1048576"/>
    </sheetView>
  </sheetViews>
  <sheetFormatPr defaultColWidth="9.109375" defaultRowHeight="13.8" x14ac:dyDescent="0.25"/>
  <cols>
    <col min="1" max="1" width="7.33203125" style="157" customWidth="1"/>
    <col min="2" max="2" width="37.5546875" style="157" bestFit="1" customWidth="1"/>
    <col min="3" max="3" width="9.6640625" style="157" customWidth="1"/>
    <col min="4" max="4" width="15.33203125" style="157" customWidth="1"/>
    <col min="5" max="5" width="9.109375" style="157"/>
    <col min="6" max="7" width="12.88671875" style="249" customWidth="1"/>
    <col min="8" max="8" width="12.33203125" style="157" customWidth="1"/>
    <col min="9" max="9" width="14.44140625" style="157" customWidth="1"/>
    <col min="10" max="10" width="10" style="157" customWidth="1"/>
    <col min="11" max="11" width="12.33203125" style="157" customWidth="1"/>
    <col min="12" max="12" width="12.88671875" style="157" customWidth="1"/>
    <col min="13" max="13" width="50.5546875" style="248" customWidth="1"/>
    <col min="14" max="14" width="17.88671875" style="156" bestFit="1" customWidth="1"/>
    <col min="15" max="15" width="15.6640625" style="157" bestFit="1" customWidth="1"/>
    <col min="16" max="16384" width="9.109375" style="157"/>
  </cols>
  <sheetData>
    <row r="1" spans="1:14" ht="22.8" x14ac:dyDescent="0.4">
      <c r="A1" s="155" t="s">
        <v>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</row>
    <row r="2" spans="1:14" ht="17.399999999999999" x14ac:dyDescent="0.3">
      <c r="A2" s="158" t="s">
        <v>148</v>
      </c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</row>
    <row r="3" spans="1:14" ht="60.75" customHeight="1" x14ac:dyDescent="0.25">
      <c r="A3" s="159" t="s">
        <v>1</v>
      </c>
      <c r="B3" s="160" t="s">
        <v>2</v>
      </c>
      <c r="C3" s="161" t="s">
        <v>3</v>
      </c>
      <c r="D3" s="162" t="s">
        <v>4</v>
      </c>
      <c r="E3" s="162" t="s">
        <v>5</v>
      </c>
      <c r="F3" s="163" t="s">
        <v>134</v>
      </c>
      <c r="G3" s="163" t="s">
        <v>133</v>
      </c>
      <c r="H3" s="161" t="s">
        <v>6</v>
      </c>
      <c r="I3" s="162" t="s">
        <v>16</v>
      </c>
      <c r="J3" s="162" t="s">
        <v>17</v>
      </c>
      <c r="K3" s="162" t="s">
        <v>18</v>
      </c>
      <c r="L3" s="162" t="s">
        <v>7</v>
      </c>
      <c r="M3" s="164" t="s">
        <v>8</v>
      </c>
    </row>
    <row r="4" spans="1:14" ht="17.399999999999999" x14ac:dyDescent="0.3">
      <c r="A4" s="165" t="s">
        <v>9</v>
      </c>
      <c r="B4" s="165"/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</row>
    <row r="5" spans="1:14" ht="15.75" customHeight="1" x14ac:dyDescent="0.25">
      <c r="A5" s="166">
        <v>1</v>
      </c>
      <c r="B5" s="167" t="s">
        <v>55</v>
      </c>
      <c r="C5" s="166">
        <v>33</v>
      </c>
      <c r="D5" s="168" t="s">
        <v>38</v>
      </c>
      <c r="E5" s="166">
        <v>12</v>
      </c>
      <c r="F5" s="169">
        <v>5892.33</v>
      </c>
      <c r="G5" s="169">
        <v>5892.33</v>
      </c>
      <c r="H5" s="170">
        <f t="shared" ref="H5:H13" si="0">G5-F5</f>
        <v>0</v>
      </c>
      <c r="I5" s="171">
        <f>H5*E5</f>
        <v>0</v>
      </c>
      <c r="J5" s="172"/>
      <c r="K5" s="173">
        <f>I5-J5</f>
        <v>0</v>
      </c>
      <c r="L5" s="174">
        <f>K5/1000</f>
        <v>0</v>
      </c>
      <c r="M5" s="175"/>
    </row>
    <row r="6" spans="1:14" s="187" customFormat="1" x14ac:dyDescent="0.25">
      <c r="A6" s="176">
        <v>2</v>
      </c>
      <c r="B6" s="177" t="s">
        <v>53</v>
      </c>
      <c r="C6" s="176">
        <v>33</v>
      </c>
      <c r="D6" s="178" t="s">
        <v>71</v>
      </c>
      <c r="E6" s="176">
        <v>120</v>
      </c>
      <c r="F6" s="179">
        <v>650.61900000000003</v>
      </c>
      <c r="G6" s="180">
        <v>673.83299999999997</v>
      </c>
      <c r="H6" s="170">
        <f>G6-F6</f>
        <v>23.213999999999942</v>
      </c>
      <c r="I6" s="181">
        <f>H6*E6</f>
        <v>2785.679999999993</v>
      </c>
      <c r="J6" s="182"/>
      <c r="K6" s="183">
        <f>I6</f>
        <v>2785.679999999993</v>
      </c>
      <c r="L6" s="184">
        <f>K6/1000</f>
        <v>2.7856799999999931</v>
      </c>
      <c r="M6" s="185"/>
      <c r="N6" s="186"/>
    </row>
    <row r="7" spans="1:14" s="187" customFormat="1" x14ac:dyDescent="0.25">
      <c r="A7" s="176">
        <v>3</v>
      </c>
      <c r="B7" s="177" t="s">
        <v>58</v>
      </c>
      <c r="C7" s="176">
        <v>33</v>
      </c>
      <c r="D7" s="178" t="s">
        <v>72</v>
      </c>
      <c r="E7" s="176">
        <v>120</v>
      </c>
      <c r="F7" s="179">
        <v>110.53400000000001</v>
      </c>
      <c r="G7" s="180">
        <v>114.11499999999999</v>
      </c>
      <c r="H7" s="188">
        <f>G7-F7</f>
        <v>3.5809999999999889</v>
      </c>
      <c r="I7" s="181">
        <f>H7*E7</f>
        <v>429.71999999999866</v>
      </c>
      <c r="J7" s="182"/>
      <c r="K7" s="183">
        <f>I7</f>
        <v>429.71999999999866</v>
      </c>
      <c r="L7" s="184">
        <f>K7/1000</f>
        <v>0.42971999999999866</v>
      </c>
      <c r="M7" s="185"/>
      <c r="N7" s="186"/>
    </row>
    <row r="8" spans="1:14" x14ac:dyDescent="0.25">
      <c r="A8" s="166">
        <v>4</v>
      </c>
      <c r="B8" s="189" t="s">
        <v>74</v>
      </c>
      <c r="C8" s="190">
        <v>33</v>
      </c>
      <c r="D8" s="191" t="s">
        <v>52</v>
      </c>
      <c r="E8" s="190">
        <v>1</v>
      </c>
      <c r="F8" s="192">
        <v>28295.5</v>
      </c>
      <c r="G8" s="192">
        <v>28910.799999999999</v>
      </c>
      <c r="H8" s="193">
        <f>G8-F8</f>
        <v>615.29999999999927</v>
      </c>
      <c r="I8" s="194">
        <f>H8*E8</f>
        <v>615.29999999999927</v>
      </c>
      <c r="J8" s="195"/>
      <c r="K8" s="196">
        <f>I8</f>
        <v>615.29999999999927</v>
      </c>
      <c r="L8" s="197">
        <f>K8/1000</f>
        <v>0.61529999999999929</v>
      </c>
      <c r="M8" s="198"/>
    </row>
    <row r="9" spans="1:14" x14ac:dyDescent="0.25">
      <c r="A9" s="166">
        <v>5</v>
      </c>
      <c r="B9" s="199" t="s">
        <v>56</v>
      </c>
      <c r="C9" s="166">
        <v>33</v>
      </c>
      <c r="D9" s="191">
        <v>8876979</v>
      </c>
      <c r="E9" s="190">
        <v>12</v>
      </c>
      <c r="F9" s="200">
        <v>420.85750000000002</v>
      </c>
      <c r="G9" s="200">
        <v>477.10449999999997</v>
      </c>
      <c r="H9" s="193">
        <f>G9-F9</f>
        <v>56.246999999999957</v>
      </c>
      <c r="I9" s="194"/>
      <c r="J9" s="195">
        <f>H9*E9</f>
        <v>674.96399999999949</v>
      </c>
      <c r="K9" s="196">
        <f>-J9</f>
        <v>-674.96399999999949</v>
      </c>
      <c r="L9" s="201">
        <f>K9/1000</f>
        <v>-0.67496399999999945</v>
      </c>
      <c r="M9" s="202" t="s">
        <v>26</v>
      </c>
    </row>
    <row r="10" spans="1:14" ht="16.5" customHeight="1" x14ac:dyDescent="0.25">
      <c r="A10" s="203">
        <v>6</v>
      </c>
      <c r="B10" s="204" t="s">
        <v>105</v>
      </c>
      <c r="C10" s="203">
        <v>33</v>
      </c>
      <c r="D10" s="205">
        <v>8876852</v>
      </c>
      <c r="E10" s="166">
        <v>24</v>
      </c>
      <c r="F10" s="206">
        <v>0.15049999999999999</v>
      </c>
      <c r="G10" s="206">
        <v>0.15049999999999999</v>
      </c>
      <c r="H10" s="207">
        <f t="shared" si="0"/>
        <v>0</v>
      </c>
      <c r="I10" s="188">
        <f>H10*E10</f>
        <v>0</v>
      </c>
      <c r="J10" s="182"/>
      <c r="K10" s="182"/>
      <c r="L10" s="184">
        <f>I10/1000</f>
        <v>0</v>
      </c>
      <c r="M10" s="208" t="s">
        <v>106</v>
      </c>
    </row>
    <row r="11" spans="1:14" ht="16.5" customHeight="1" x14ac:dyDescent="0.25">
      <c r="A11" s="209"/>
      <c r="B11" s="210"/>
      <c r="C11" s="209"/>
      <c r="D11" s="211"/>
      <c r="E11" s="166">
        <v>24</v>
      </c>
      <c r="F11" s="212">
        <v>0</v>
      </c>
      <c r="G11" s="212">
        <v>0</v>
      </c>
      <c r="H11" s="207">
        <f t="shared" si="0"/>
        <v>0</v>
      </c>
      <c r="I11" s="188"/>
      <c r="J11" s="182">
        <f>H11*E11</f>
        <v>0</v>
      </c>
      <c r="K11" s="182">
        <f>J11</f>
        <v>0</v>
      </c>
      <c r="L11" s="213">
        <f>-K11/1000</f>
        <v>0</v>
      </c>
      <c r="M11" s="208" t="s">
        <v>63</v>
      </c>
    </row>
    <row r="12" spans="1:14" x14ac:dyDescent="0.25">
      <c r="A12" s="176">
        <v>7</v>
      </c>
      <c r="B12" s="214" t="s">
        <v>24</v>
      </c>
      <c r="C12" s="176">
        <v>11</v>
      </c>
      <c r="D12" s="178">
        <v>20090467</v>
      </c>
      <c r="E12" s="176">
        <v>2</v>
      </c>
      <c r="F12" s="215">
        <v>7.68</v>
      </c>
      <c r="G12" s="215">
        <v>7.68</v>
      </c>
      <c r="H12" s="207">
        <f t="shared" si="0"/>
        <v>0</v>
      </c>
      <c r="I12" s="181">
        <f t="shared" ref="I12:I17" si="1">H12*E12</f>
        <v>0</v>
      </c>
      <c r="J12" s="216"/>
      <c r="K12" s="217">
        <v>15</v>
      </c>
      <c r="L12" s="218">
        <f>K12/1000</f>
        <v>1.4999999999999999E-2</v>
      </c>
      <c r="M12" s="219" t="s">
        <v>145</v>
      </c>
    </row>
    <row r="13" spans="1:14" x14ac:dyDescent="0.25">
      <c r="A13" s="176">
        <v>8</v>
      </c>
      <c r="B13" s="220" t="s">
        <v>39</v>
      </c>
      <c r="C13" s="176">
        <v>11</v>
      </c>
      <c r="D13" s="221" t="s">
        <v>41</v>
      </c>
      <c r="E13" s="176">
        <v>0.5</v>
      </c>
      <c r="F13" s="215">
        <v>13414.73</v>
      </c>
      <c r="G13" s="215">
        <v>13414.73</v>
      </c>
      <c r="H13" s="207">
        <f t="shared" si="0"/>
        <v>0</v>
      </c>
      <c r="I13" s="181">
        <f t="shared" si="1"/>
        <v>0</v>
      </c>
      <c r="J13" s="216"/>
      <c r="K13" s="217">
        <f>I13</f>
        <v>0</v>
      </c>
      <c r="L13" s="218">
        <f>K13/1000</f>
        <v>0</v>
      </c>
      <c r="M13" s="222"/>
    </row>
    <row r="14" spans="1:14" x14ac:dyDescent="0.25">
      <c r="A14" s="176">
        <v>9</v>
      </c>
      <c r="B14" s="223" t="s">
        <v>40</v>
      </c>
      <c r="C14" s="176">
        <v>11</v>
      </c>
      <c r="D14" s="178" t="s">
        <v>42</v>
      </c>
      <c r="E14" s="224">
        <v>0.5</v>
      </c>
      <c r="F14" s="215">
        <v>5293.16</v>
      </c>
      <c r="G14" s="215">
        <v>5293.16</v>
      </c>
      <c r="H14" s="207">
        <f>G14-F14</f>
        <v>0</v>
      </c>
      <c r="I14" s="217">
        <f t="shared" si="1"/>
        <v>0</v>
      </c>
      <c r="J14" s="207"/>
      <c r="K14" s="217">
        <f>I14-J14</f>
        <v>0</v>
      </c>
      <c r="L14" s="218">
        <f>I14/1000</f>
        <v>0</v>
      </c>
      <c r="M14" s="225"/>
    </row>
    <row r="15" spans="1:14" x14ac:dyDescent="0.25">
      <c r="A15" s="166">
        <v>10</v>
      </c>
      <c r="B15" s="223" t="s">
        <v>59</v>
      </c>
      <c r="C15" s="176">
        <v>11</v>
      </c>
      <c r="D15" s="178">
        <v>20112442</v>
      </c>
      <c r="E15" s="224">
        <v>2</v>
      </c>
      <c r="F15" s="226">
        <v>52.69</v>
      </c>
      <c r="G15" s="226">
        <v>52.69</v>
      </c>
      <c r="H15" s="207">
        <f>G15-F15</f>
        <v>0</v>
      </c>
      <c r="I15" s="217">
        <f t="shared" si="1"/>
        <v>0</v>
      </c>
      <c r="J15" s="207"/>
      <c r="K15" s="217">
        <f>I15-J15</f>
        <v>0</v>
      </c>
      <c r="L15" s="218">
        <f>I15/1000</f>
        <v>0</v>
      </c>
      <c r="M15" s="225"/>
    </row>
    <row r="16" spans="1:14" s="229" customFormat="1" ht="26.4" x14ac:dyDescent="0.25">
      <c r="A16" s="166">
        <v>11</v>
      </c>
      <c r="B16" s="214" t="s">
        <v>20</v>
      </c>
      <c r="C16" s="227">
        <v>11</v>
      </c>
      <c r="D16" s="178" t="s">
        <v>32</v>
      </c>
      <c r="E16" s="227">
        <v>4</v>
      </c>
      <c r="F16" s="192">
        <v>3439.69</v>
      </c>
      <c r="G16" s="192">
        <v>3472.96</v>
      </c>
      <c r="H16" s="207">
        <f>G16-F16</f>
        <v>33.269999999999982</v>
      </c>
      <c r="I16" s="181">
        <f t="shared" si="1"/>
        <v>133.07999999999993</v>
      </c>
      <c r="J16" s="207"/>
      <c r="K16" s="217">
        <f>I16-J16</f>
        <v>133.07999999999993</v>
      </c>
      <c r="L16" s="218">
        <f>I16/1000</f>
        <v>0.13307999999999992</v>
      </c>
      <c r="M16" s="225"/>
      <c r="N16" s="228"/>
    </row>
    <row r="17" spans="1:15" s="229" customFormat="1" x14ac:dyDescent="0.25">
      <c r="A17" s="166">
        <v>12</v>
      </c>
      <c r="B17" s="214" t="s">
        <v>130</v>
      </c>
      <c r="C17" s="227">
        <v>11</v>
      </c>
      <c r="D17" s="178">
        <v>21102143</v>
      </c>
      <c r="E17" s="227">
        <v>20</v>
      </c>
      <c r="F17" s="230">
        <v>73</v>
      </c>
      <c r="G17" s="230">
        <v>83.03</v>
      </c>
      <c r="H17" s="207">
        <f>G17-F17</f>
        <v>10.030000000000001</v>
      </c>
      <c r="I17" s="181">
        <f t="shared" si="1"/>
        <v>200.60000000000002</v>
      </c>
      <c r="J17" s="231"/>
      <c r="K17" s="217">
        <f>I17-J17</f>
        <v>200.60000000000002</v>
      </c>
      <c r="L17" s="218">
        <f>K17/1000</f>
        <v>0.20060000000000003</v>
      </c>
      <c r="M17" s="232" t="s">
        <v>131</v>
      </c>
      <c r="N17" s="228"/>
    </row>
    <row r="18" spans="1:15" ht="21" customHeight="1" x14ac:dyDescent="0.25">
      <c r="A18" s="166">
        <v>13</v>
      </c>
      <c r="B18" s="233" t="s">
        <v>43</v>
      </c>
      <c r="C18" s="176">
        <v>11</v>
      </c>
      <c r="D18" s="234"/>
      <c r="E18" s="235"/>
      <c r="F18" s="236"/>
      <c r="G18" s="236"/>
      <c r="H18" s="176"/>
      <c r="I18" s="237"/>
      <c r="J18" s="238">
        <v>0</v>
      </c>
      <c r="K18" s="176"/>
      <c r="L18" s="239">
        <f>-J18/1000</f>
        <v>0</v>
      </c>
      <c r="M18" s="202" t="s">
        <v>26</v>
      </c>
    </row>
    <row r="19" spans="1:15" s="244" customFormat="1" ht="15" x14ac:dyDescent="0.25">
      <c r="A19" s="176">
        <v>14</v>
      </c>
      <c r="B19" s="214" t="s">
        <v>49</v>
      </c>
      <c r="C19" s="176">
        <v>11</v>
      </c>
      <c r="D19" s="234"/>
      <c r="E19" s="235"/>
      <c r="F19" s="236"/>
      <c r="G19" s="236"/>
      <c r="H19" s="176"/>
      <c r="I19" s="176"/>
      <c r="J19" s="240">
        <v>0</v>
      </c>
      <c r="K19" s="176"/>
      <c r="L19" s="241">
        <f>-(J19/1000)</f>
        <v>0</v>
      </c>
      <c r="M19" s="242" t="s">
        <v>146</v>
      </c>
      <c r="N19" s="243"/>
    </row>
    <row r="20" spans="1:15" ht="16.2" thickBot="1" x14ac:dyDescent="0.35">
      <c r="A20" s="245"/>
      <c r="B20" s="246"/>
      <c r="C20" s="245"/>
      <c r="D20" s="247"/>
      <c r="E20" s="248"/>
      <c r="H20" s="248"/>
      <c r="I20" s="248"/>
      <c r="K20" s="250" t="s">
        <v>19</v>
      </c>
      <c r="L20" s="251">
        <f>SUM(L5:L19)</f>
        <v>3.5044159999999924</v>
      </c>
      <c r="M20" s="252"/>
    </row>
    <row r="21" spans="1:15" ht="17.399999999999999" x14ac:dyDescent="0.25">
      <c r="A21" s="253" t="s">
        <v>10</v>
      </c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4"/>
      <c r="O21" s="156"/>
    </row>
    <row r="22" spans="1:15" s="187" customFormat="1" ht="39.75" customHeight="1" x14ac:dyDescent="0.25">
      <c r="A22" s="176">
        <v>1</v>
      </c>
      <c r="B22" s="255" t="s">
        <v>75</v>
      </c>
      <c r="C22" s="176">
        <v>33</v>
      </c>
      <c r="D22" s="178" t="s">
        <v>73</v>
      </c>
      <c r="E22" s="176">
        <v>120</v>
      </c>
      <c r="F22" s="179">
        <v>661.14499999999998</v>
      </c>
      <c r="G22" s="180">
        <v>681.83799999999997</v>
      </c>
      <c r="H22" s="256">
        <f t="shared" ref="H22:H28" si="2">G22-F22</f>
        <v>20.692999999999984</v>
      </c>
      <c r="I22" s="237">
        <f>H22*E22</f>
        <v>2483.159999999998</v>
      </c>
      <c r="J22" s="257"/>
      <c r="K22" s="258">
        <f>I22</f>
        <v>2483.159999999998</v>
      </c>
      <c r="L22" s="259">
        <f>K22/1000</f>
        <v>2.483159999999998</v>
      </c>
      <c r="M22" s="260" t="s">
        <v>76</v>
      </c>
      <c r="N22" s="186"/>
    </row>
    <row r="23" spans="1:15" ht="18.75" customHeight="1" x14ac:dyDescent="0.25">
      <c r="A23" s="203">
        <v>2</v>
      </c>
      <c r="B23" s="204" t="s">
        <v>80</v>
      </c>
      <c r="C23" s="203">
        <v>33</v>
      </c>
      <c r="D23" s="205">
        <v>8635126</v>
      </c>
      <c r="E23" s="176">
        <v>24</v>
      </c>
      <c r="F23" s="261">
        <v>12.73</v>
      </c>
      <c r="G23" s="261">
        <v>12.73</v>
      </c>
      <c r="H23" s="256">
        <f t="shared" si="2"/>
        <v>0</v>
      </c>
      <c r="I23" s="256">
        <f>H23*E23</f>
        <v>0</v>
      </c>
      <c r="J23" s="262"/>
      <c r="K23" s="258">
        <f>I23</f>
        <v>0</v>
      </c>
      <c r="L23" s="259">
        <f>K23/1000</f>
        <v>0</v>
      </c>
      <c r="M23" s="263" t="s">
        <v>122</v>
      </c>
    </row>
    <row r="24" spans="1:15" ht="18.75" customHeight="1" x14ac:dyDescent="0.25">
      <c r="A24" s="264"/>
      <c r="B24" s="265"/>
      <c r="C24" s="266"/>
      <c r="D24" s="211"/>
      <c r="E24" s="176">
        <v>24</v>
      </c>
      <c r="F24" s="215">
        <v>0.51</v>
      </c>
      <c r="G24" s="215">
        <v>0.51</v>
      </c>
      <c r="H24" s="256">
        <f t="shared" si="2"/>
        <v>0</v>
      </c>
      <c r="I24" s="256"/>
      <c r="J24" s="262">
        <f>H24*E24</f>
        <v>0</v>
      </c>
      <c r="K24" s="267">
        <f>I24</f>
        <v>0</v>
      </c>
      <c r="L24" s="239">
        <f>-J24/1000</f>
        <v>0</v>
      </c>
      <c r="M24" s="268" t="s">
        <v>121</v>
      </c>
    </row>
    <row r="25" spans="1:15" ht="26.4" x14ac:dyDescent="0.25">
      <c r="A25" s="264"/>
      <c r="B25" s="265"/>
      <c r="C25" s="203">
        <v>33</v>
      </c>
      <c r="D25" s="205">
        <v>8867261</v>
      </c>
      <c r="E25" s="176">
        <v>120</v>
      </c>
      <c r="F25" s="269">
        <v>4.8620999999999999</v>
      </c>
      <c r="G25" s="269">
        <v>5.13</v>
      </c>
      <c r="H25" s="256">
        <f t="shared" si="2"/>
        <v>0.26790000000000003</v>
      </c>
      <c r="I25" s="256">
        <f>H25*E25</f>
        <v>32.148000000000003</v>
      </c>
      <c r="J25" s="262"/>
      <c r="K25" s="270">
        <f>I25</f>
        <v>32.148000000000003</v>
      </c>
      <c r="L25" s="271">
        <f>K25/1000</f>
        <v>3.2148000000000003E-2</v>
      </c>
      <c r="M25" s="263" t="s">
        <v>125</v>
      </c>
    </row>
    <row r="26" spans="1:15" ht="26.4" x14ac:dyDescent="0.25">
      <c r="A26" s="209"/>
      <c r="B26" s="210"/>
      <c r="C26" s="266"/>
      <c r="D26" s="211"/>
      <c r="E26" s="176">
        <v>120</v>
      </c>
      <c r="F26" s="269">
        <v>24.5809</v>
      </c>
      <c r="G26" s="269">
        <v>24.5809</v>
      </c>
      <c r="H26" s="256">
        <f t="shared" si="2"/>
        <v>0</v>
      </c>
      <c r="I26" s="256"/>
      <c r="J26" s="262">
        <f>H26*E26</f>
        <v>0</v>
      </c>
      <c r="K26" s="267"/>
      <c r="L26" s="239">
        <f>-J26/1000</f>
        <v>0</v>
      </c>
      <c r="M26" s="268" t="s">
        <v>126</v>
      </c>
    </row>
    <row r="27" spans="1:15" ht="16.5" customHeight="1" x14ac:dyDescent="0.25">
      <c r="A27" s="190">
        <v>3</v>
      </c>
      <c r="B27" s="199" t="s">
        <v>56</v>
      </c>
      <c r="C27" s="190"/>
      <c r="D27" s="178">
        <v>8876979</v>
      </c>
      <c r="E27" s="176">
        <v>12</v>
      </c>
      <c r="F27" s="200">
        <v>420.85750000000002</v>
      </c>
      <c r="G27" s="200">
        <v>477.10449999999997</v>
      </c>
      <c r="H27" s="190">
        <f t="shared" si="2"/>
        <v>56.246999999999957</v>
      </c>
      <c r="I27" s="272">
        <f>H27*E27</f>
        <v>674.96399999999949</v>
      </c>
      <c r="J27" s="273"/>
      <c r="K27" s="273"/>
      <c r="L27" s="274">
        <f>I27/1000</f>
        <v>0.67496399999999945</v>
      </c>
      <c r="M27" s="275" t="s">
        <v>141</v>
      </c>
    </row>
    <row r="28" spans="1:15" ht="16.5" customHeight="1" x14ac:dyDescent="0.25">
      <c r="A28" s="190">
        <v>4</v>
      </c>
      <c r="B28" s="214" t="s">
        <v>130</v>
      </c>
      <c r="C28" s="227">
        <v>11</v>
      </c>
      <c r="D28" s="178">
        <v>21102143</v>
      </c>
      <c r="E28" s="227">
        <v>20</v>
      </c>
      <c r="F28" s="230">
        <v>73</v>
      </c>
      <c r="G28" s="230">
        <v>83.03</v>
      </c>
      <c r="H28" s="190">
        <f t="shared" si="2"/>
        <v>10.030000000000001</v>
      </c>
      <c r="I28" s="272"/>
      <c r="J28" s="276">
        <f>H28*E28</f>
        <v>200.60000000000002</v>
      </c>
      <c r="K28" s="276">
        <f>-J28</f>
        <v>-200.60000000000002</v>
      </c>
      <c r="L28" s="274">
        <f>K28/1000</f>
        <v>-0.20060000000000003</v>
      </c>
      <c r="M28" s="232" t="s">
        <v>131</v>
      </c>
    </row>
    <row r="29" spans="1:15" ht="15" x14ac:dyDescent="0.25">
      <c r="A29" s="176">
        <v>5</v>
      </c>
      <c r="B29" s="233" t="s">
        <v>22</v>
      </c>
      <c r="C29" s="176">
        <v>11</v>
      </c>
      <c r="D29" s="234"/>
      <c r="E29" s="235">
        <v>1</v>
      </c>
      <c r="F29" s="236"/>
      <c r="G29" s="236"/>
      <c r="H29" s="176"/>
      <c r="I29" s="270">
        <v>0</v>
      </c>
      <c r="J29" s="277"/>
      <c r="K29" s="176"/>
      <c r="L29" s="259">
        <f>I29/1000</f>
        <v>0</v>
      </c>
      <c r="M29" s="278" t="s">
        <v>33</v>
      </c>
    </row>
    <row r="30" spans="1:15" ht="16.2" thickBot="1" x14ac:dyDescent="0.35">
      <c r="A30" s="279"/>
      <c r="B30" s="246"/>
      <c r="C30" s="280"/>
      <c r="D30" s="247"/>
      <c r="E30" s="281"/>
      <c r="H30" s="248"/>
      <c r="I30" s="248"/>
      <c r="K30" s="282" t="s">
        <v>19</v>
      </c>
      <c r="L30" s="283">
        <f>SUM(L22:L29)</f>
        <v>2.9896719999999974</v>
      </c>
      <c r="M30" s="284"/>
      <c r="O30" s="285"/>
    </row>
    <row r="31" spans="1:15" ht="18" thickBot="1" x14ac:dyDescent="0.35">
      <c r="A31" s="279"/>
      <c r="B31" s="246"/>
      <c r="C31" s="245"/>
      <c r="D31" s="286" t="s">
        <v>95</v>
      </c>
      <c r="E31" s="287"/>
      <c r="F31" s="288"/>
      <c r="G31" s="288"/>
      <c r="H31" s="287"/>
      <c r="I31" s="289">
        <f>L20</f>
        <v>3.5044159999999924</v>
      </c>
      <c r="J31" s="290" t="s">
        <v>34</v>
      </c>
      <c r="K31" s="291"/>
      <c r="M31" s="292"/>
    </row>
    <row r="32" spans="1:15" ht="18" thickBot="1" x14ac:dyDescent="0.35">
      <c r="A32" s="279"/>
      <c r="B32" s="246"/>
      <c r="D32" s="286" t="s">
        <v>96</v>
      </c>
      <c r="E32" s="287"/>
      <c r="F32" s="288"/>
      <c r="G32" s="288"/>
      <c r="H32" s="287"/>
      <c r="I32" s="289">
        <f>L30</f>
        <v>2.9896719999999974</v>
      </c>
      <c r="J32" s="290" t="s">
        <v>34</v>
      </c>
      <c r="K32" s="291"/>
      <c r="M32" s="292"/>
      <c r="O32" s="293"/>
    </row>
    <row r="33" spans="1:13" ht="18" thickBot="1" x14ac:dyDescent="0.35">
      <c r="A33" s="245"/>
      <c r="B33" s="294" t="s">
        <v>35</v>
      </c>
      <c r="C33" s="295"/>
      <c r="D33" s="295"/>
      <c r="E33" s="295"/>
      <c r="F33" s="295"/>
      <c r="G33" s="295"/>
      <c r="H33" s="295"/>
      <c r="I33" s="289">
        <f>I31+I32</f>
        <v>6.4940879999999899</v>
      </c>
      <c r="J33" s="290" t="s">
        <v>34</v>
      </c>
      <c r="L33" s="296"/>
      <c r="M33" s="281"/>
    </row>
    <row r="34" spans="1:13" ht="18" thickBot="1" x14ac:dyDescent="0.35">
      <c r="A34" s="245"/>
      <c r="B34" s="246"/>
      <c r="C34" s="291"/>
      <c r="D34" s="297"/>
      <c r="E34" s="298"/>
      <c r="F34" s="299"/>
      <c r="G34" s="299"/>
      <c r="H34" s="298"/>
      <c r="I34" s="298"/>
      <c r="J34" s="291"/>
      <c r="M34" s="300"/>
    </row>
    <row r="35" spans="1:13" ht="60.6" thickBot="1" x14ac:dyDescent="1">
      <c r="A35" s="245"/>
      <c r="C35" s="301" t="s">
        <v>36</v>
      </c>
      <c r="D35" s="302"/>
      <c r="E35" s="302"/>
      <c r="F35" s="303">
        <f>I33</f>
        <v>6.4940879999999899</v>
      </c>
      <c r="G35" s="303"/>
      <c r="H35" s="303"/>
      <c r="I35" s="303"/>
      <c r="J35" s="303"/>
      <c r="K35" s="304" t="s">
        <v>34</v>
      </c>
      <c r="L35" s="305"/>
      <c r="M35" s="300"/>
    </row>
    <row r="36" spans="1:13" x14ac:dyDescent="0.25">
      <c r="A36" s="245"/>
    </row>
    <row r="37" spans="1:13" x14ac:dyDescent="0.25">
      <c r="A37" s="245"/>
    </row>
  </sheetData>
  <mergeCells count="19">
    <mergeCell ref="A23:A26"/>
    <mergeCell ref="C35:E35"/>
    <mergeCell ref="F35:J35"/>
    <mergeCell ref="K35:L35"/>
    <mergeCell ref="M31:M32"/>
    <mergeCell ref="B33:H33"/>
    <mergeCell ref="C23:C24"/>
    <mergeCell ref="D23:D24"/>
    <mergeCell ref="B23:B26"/>
    <mergeCell ref="D25:D26"/>
    <mergeCell ref="C25:C26"/>
    <mergeCell ref="A10:A11"/>
    <mergeCell ref="A1:M1"/>
    <mergeCell ref="A2:M2"/>
    <mergeCell ref="A4:M4"/>
    <mergeCell ref="A21:M21"/>
    <mergeCell ref="C10:C11"/>
    <mergeCell ref="D10:D11"/>
    <mergeCell ref="B10:B11"/>
  </mergeCells>
  <pageMargins left="0.44" right="0.26" top="0.63" bottom="0.36" header="0.3" footer="0.3"/>
  <pageSetup paperSize="5" orientation="landscape" r:id="rId1"/>
  <ignoredErrors>
    <ignoredError sqref="K1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5" zoomScale="80" zoomScaleNormal="80" workbookViewId="0">
      <selection activeCell="L5" sqref="A1:XFD1048576"/>
    </sheetView>
  </sheetViews>
  <sheetFormatPr defaultColWidth="9.109375" defaultRowHeight="13.8" x14ac:dyDescent="0.25"/>
  <cols>
    <col min="1" max="1" width="5.88671875" style="280" customWidth="1"/>
    <col min="2" max="2" width="35.109375" style="380" bestFit="1" customWidth="1"/>
    <col min="3" max="3" width="9" style="280" bestFit="1" customWidth="1"/>
    <col min="4" max="4" width="17.6640625" style="157" customWidth="1"/>
    <col min="5" max="5" width="5.88671875" style="248" customWidth="1"/>
    <col min="6" max="6" width="15.33203125" style="248" customWidth="1"/>
    <col min="7" max="7" width="14.6640625" style="248" customWidth="1"/>
    <col min="8" max="8" width="14.5546875" style="248" customWidth="1"/>
    <col min="9" max="9" width="16.44140625" style="248" customWidth="1"/>
    <col min="10" max="10" width="11.33203125" style="157" customWidth="1"/>
    <col min="11" max="11" width="12.5546875" style="157" customWidth="1"/>
    <col min="12" max="12" width="13.88671875" style="248" customWidth="1"/>
    <col min="13" max="13" width="30.109375" style="157" bestFit="1" customWidth="1"/>
    <col min="14" max="14" width="9.109375" style="157"/>
    <col min="15" max="15" width="12.5546875" style="157" bestFit="1" customWidth="1"/>
    <col min="16" max="16384" width="9.109375" style="157"/>
  </cols>
  <sheetData>
    <row r="1" spans="1:15" s="157" customFormat="1" ht="34.5" customHeight="1" x14ac:dyDescent="0.25">
      <c r="A1" s="306" t="s">
        <v>103</v>
      </c>
      <c r="B1" s="306"/>
      <c r="C1" s="306"/>
      <c r="D1" s="306"/>
      <c r="E1" s="306"/>
      <c r="F1" s="306"/>
      <c r="G1" s="306"/>
      <c r="H1" s="306"/>
      <c r="I1" s="306"/>
      <c r="J1" s="306"/>
      <c r="K1" s="306"/>
      <c r="L1" s="306"/>
      <c r="M1" s="306"/>
    </row>
    <row r="2" spans="1:15" s="157" customFormat="1" ht="18.75" customHeight="1" x14ac:dyDescent="0.25">
      <c r="A2" s="307" t="s">
        <v>148</v>
      </c>
      <c r="B2" s="307"/>
      <c r="C2" s="307"/>
      <c r="D2" s="307"/>
      <c r="E2" s="307"/>
      <c r="F2" s="307"/>
      <c r="G2" s="307"/>
      <c r="H2" s="307"/>
      <c r="I2" s="307"/>
      <c r="J2" s="307"/>
      <c r="K2" s="307"/>
      <c r="L2" s="307"/>
      <c r="M2" s="307"/>
    </row>
    <row r="3" spans="1:15" s="309" customFormat="1" ht="55.2" x14ac:dyDescent="0.3">
      <c r="A3" s="162" t="s">
        <v>1</v>
      </c>
      <c r="B3" s="162" t="s">
        <v>2</v>
      </c>
      <c r="C3" s="162" t="s">
        <v>3</v>
      </c>
      <c r="D3" s="162" t="s">
        <v>4</v>
      </c>
      <c r="E3" s="162" t="s">
        <v>5</v>
      </c>
      <c r="F3" s="162" t="s">
        <v>134</v>
      </c>
      <c r="G3" s="162" t="s">
        <v>133</v>
      </c>
      <c r="H3" s="162" t="s">
        <v>6</v>
      </c>
      <c r="I3" s="162" t="s">
        <v>16</v>
      </c>
      <c r="J3" s="162" t="s">
        <v>17</v>
      </c>
      <c r="K3" s="162" t="s">
        <v>18</v>
      </c>
      <c r="L3" s="162" t="s">
        <v>7</v>
      </c>
      <c r="M3" s="308" t="s">
        <v>8</v>
      </c>
    </row>
    <row r="4" spans="1:15" s="157" customFormat="1" ht="24.75" customHeight="1" x14ac:dyDescent="0.25">
      <c r="A4" s="310" t="s">
        <v>11</v>
      </c>
      <c r="B4" s="311"/>
      <c r="C4" s="311"/>
      <c r="D4" s="311"/>
      <c r="E4" s="311"/>
      <c r="F4" s="311"/>
      <c r="G4" s="311"/>
      <c r="H4" s="311"/>
      <c r="I4" s="311"/>
      <c r="J4" s="311"/>
      <c r="K4" s="311"/>
      <c r="L4" s="311"/>
      <c r="M4" s="311"/>
    </row>
    <row r="5" spans="1:15" s="280" customFormat="1" x14ac:dyDescent="0.3">
      <c r="A5" s="190">
        <v>1</v>
      </c>
      <c r="B5" s="199" t="s">
        <v>98</v>
      </c>
      <c r="C5" s="176">
        <v>33</v>
      </c>
      <c r="D5" s="168" t="s">
        <v>91</v>
      </c>
      <c r="E5" s="176">
        <v>120</v>
      </c>
      <c r="F5" s="312">
        <v>1415.51</v>
      </c>
      <c r="G5" s="313">
        <v>1467.63</v>
      </c>
      <c r="H5" s="176">
        <f t="shared" ref="H5:H8" si="0">G5-F5</f>
        <v>52.120000000000118</v>
      </c>
      <c r="I5" s="176">
        <f t="shared" ref="I5:I10" si="1">H5*E5</f>
        <v>6254.4000000000142</v>
      </c>
      <c r="J5" s="176"/>
      <c r="K5" s="314">
        <f t="shared" ref="K5:K9" si="2">I5</f>
        <v>6254.4000000000142</v>
      </c>
      <c r="L5" s="271">
        <f t="shared" ref="L5:L10" si="3">K5/1000</f>
        <v>6.2544000000000146</v>
      </c>
      <c r="M5" s="315"/>
    </row>
    <row r="6" spans="1:15" s="320" customFormat="1" ht="15.6" x14ac:dyDescent="0.3">
      <c r="A6" s="166">
        <v>2</v>
      </c>
      <c r="B6" s="316" t="s">
        <v>25</v>
      </c>
      <c r="C6" s="177">
        <v>11</v>
      </c>
      <c r="D6" s="317">
        <v>8876856</v>
      </c>
      <c r="E6" s="318">
        <v>4</v>
      </c>
      <c r="F6" s="319">
        <v>896.75699999999995</v>
      </c>
      <c r="G6" s="319">
        <v>987.95100000000002</v>
      </c>
      <c r="H6" s="176">
        <f t="shared" si="0"/>
        <v>91.194000000000074</v>
      </c>
      <c r="I6" s="176">
        <f t="shared" si="1"/>
        <v>364.77600000000029</v>
      </c>
      <c r="K6" s="320">
        <f t="shared" si="2"/>
        <v>364.77600000000029</v>
      </c>
      <c r="L6" s="320">
        <f t="shared" si="3"/>
        <v>0.36477600000000032</v>
      </c>
      <c r="M6" s="320" t="s">
        <v>139</v>
      </c>
    </row>
    <row r="7" spans="1:15" s="324" customFormat="1" ht="27.6" x14ac:dyDescent="0.3">
      <c r="A7" s="166"/>
      <c r="B7" s="321" t="s">
        <v>142</v>
      </c>
      <c r="C7" s="273">
        <v>33</v>
      </c>
      <c r="D7" s="322">
        <v>23081416</v>
      </c>
      <c r="E7" s="166">
        <v>12</v>
      </c>
      <c r="F7" s="323">
        <v>322.45999999999998</v>
      </c>
      <c r="G7" s="323">
        <v>357.37</v>
      </c>
      <c r="H7" s="176">
        <f t="shared" si="0"/>
        <v>34.910000000000025</v>
      </c>
      <c r="I7" s="176">
        <f>H7*E7</f>
        <v>418.9200000000003</v>
      </c>
      <c r="J7" s="168"/>
      <c r="K7" s="168">
        <f t="shared" si="2"/>
        <v>418.9200000000003</v>
      </c>
      <c r="L7" s="168">
        <f>K7/1000</f>
        <v>0.41892000000000029</v>
      </c>
      <c r="M7" s="168" t="s">
        <v>64</v>
      </c>
    </row>
    <row r="8" spans="1:15" s="329" customFormat="1" ht="41.4" x14ac:dyDescent="0.3">
      <c r="A8" s="190"/>
      <c r="B8" s="316" t="s">
        <v>99</v>
      </c>
      <c r="C8" s="325">
        <v>11</v>
      </c>
      <c r="D8" s="326">
        <v>8876722</v>
      </c>
      <c r="E8" s="176">
        <v>3</v>
      </c>
      <c r="F8" s="327">
        <v>126.209</v>
      </c>
      <c r="G8" s="327">
        <v>172.60599999999999</v>
      </c>
      <c r="H8" s="314">
        <f t="shared" si="0"/>
        <v>46.396999999999991</v>
      </c>
      <c r="I8" s="176">
        <f t="shared" si="1"/>
        <v>139.19099999999997</v>
      </c>
      <c r="J8" s="176"/>
      <c r="K8" s="314">
        <f t="shared" si="2"/>
        <v>139.19099999999997</v>
      </c>
      <c r="L8" s="271">
        <f t="shared" si="3"/>
        <v>0.13919099999999998</v>
      </c>
      <c r="M8" s="328" t="s">
        <v>70</v>
      </c>
    </row>
    <row r="9" spans="1:15" s="329" customFormat="1" ht="15" customHeight="1" x14ac:dyDescent="0.25">
      <c r="A9" s="203">
        <v>4</v>
      </c>
      <c r="B9" s="330" t="s">
        <v>30</v>
      </c>
      <c r="C9" s="203">
        <v>33</v>
      </c>
      <c r="D9" s="205">
        <v>8876853</v>
      </c>
      <c r="E9" s="176">
        <v>24</v>
      </c>
      <c r="F9" s="331">
        <v>9.0564999999999998</v>
      </c>
      <c r="G9" s="332">
        <v>11.5275</v>
      </c>
      <c r="H9" s="314">
        <f>G9-F9</f>
        <v>2.4710000000000001</v>
      </c>
      <c r="I9" s="176">
        <f t="shared" si="1"/>
        <v>59.304000000000002</v>
      </c>
      <c r="J9" s="176"/>
      <c r="K9" s="314">
        <f t="shared" si="2"/>
        <v>59.304000000000002</v>
      </c>
      <c r="L9" s="271">
        <f t="shared" si="3"/>
        <v>5.9304000000000003E-2</v>
      </c>
      <c r="M9" s="333" t="s">
        <v>47</v>
      </c>
    </row>
    <row r="10" spans="1:15" s="329" customFormat="1" ht="15" customHeight="1" x14ac:dyDescent="0.25">
      <c r="A10" s="209"/>
      <c r="B10" s="334"/>
      <c r="C10" s="209"/>
      <c r="D10" s="211"/>
      <c r="E10" s="176">
        <v>24</v>
      </c>
      <c r="F10" s="331">
        <v>90.165000000000006</v>
      </c>
      <c r="G10" s="331">
        <v>97.146000000000001</v>
      </c>
      <c r="H10" s="314">
        <f>G10-F10</f>
        <v>6.9809999999999945</v>
      </c>
      <c r="I10" s="176">
        <f t="shared" si="1"/>
        <v>167.54399999999987</v>
      </c>
      <c r="J10" s="335">
        <f>I10</f>
        <v>167.54399999999987</v>
      </c>
      <c r="K10" s="257">
        <f>-J10</f>
        <v>-167.54399999999987</v>
      </c>
      <c r="L10" s="239">
        <f t="shared" si="3"/>
        <v>-0.16754399999999986</v>
      </c>
      <c r="M10" s="336" t="s">
        <v>48</v>
      </c>
    </row>
    <row r="11" spans="1:15" s="157" customFormat="1" ht="14.4" thickBot="1" x14ac:dyDescent="0.3">
      <c r="A11" s="337"/>
      <c r="B11" s="337"/>
      <c r="C11" s="337"/>
      <c r="D11" s="337"/>
      <c r="E11" s="337"/>
      <c r="F11" s="337"/>
      <c r="G11" s="337"/>
      <c r="H11" s="337"/>
      <c r="I11" s="337"/>
      <c r="J11" s="337"/>
      <c r="K11" s="338" t="s">
        <v>19</v>
      </c>
      <c r="L11" s="339">
        <f>SUM(L5:L10)</f>
        <v>7.0690470000000154</v>
      </c>
      <c r="M11" s="340"/>
      <c r="O11" s="156"/>
    </row>
    <row r="12" spans="1:15" s="329" customFormat="1" x14ac:dyDescent="0.25">
      <c r="A12" s="341" t="s">
        <v>12</v>
      </c>
      <c r="B12" s="341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2"/>
      <c r="N12" s="157"/>
      <c r="O12" s="343"/>
    </row>
    <row r="13" spans="1:15" s="157" customFormat="1" x14ac:dyDescent="0.25">
      <c r="A13" s="176">
        <v>1</v>
      </c>
      <c r="B13" s="199" t="s">
        <v>100</v>
      </c>
      <c r="C13" s="176">
        <v>33</v>
      </c>
      <c r="D13" s="344" t="s">
        <v>89</v>
      </c>
      <c r="E13" s="187">
        <v>120</v>
      </c>
      <c r="F13" s="345">
        <v>1155.21</v>
      </c>
      <c r="G13" s="345">
        <v>1195.18</v>
      </c>
      <c r="H13" s="176">
        <f t="shared" ref="H13:H21" si="4">G13-F13</f>
        <v>39.970000000000027</v>
      </c>
      <c r="I13" s="176">
        <f>H13*E13</f>
        <v>4796.4000000000033</v>
      </c>
      <c r="J13" s="187"/>
      <c r="K13" s="270">
        <f>I13</f>
        <v>4796.4000000000033</v>
      </c>
      <c r="L13" s="346">
        <f>K13/1000</f>
        <v>4.7964000000000029</v>
      </c>
      <c r="M13" s="315"/>
      <c r="N13" s="347"/>
      <c r="O13" s="156"/>
    </row>
    <row r="14" spans="1:15" s="329" customFormat="1" ht="55.5" customHeight="1" x14ac:dyDescent="0.3">
      <c r="A14" s="176">
        <v>2</v>
      </c>
      <c r="B14" s="255" t="s">
        <v>50</v>
      </c>
      <c r="C14" s="176">
        <v>33</v>
      </c>
      <c r="D14" s="178" t="s">
        <v>90</v>
      </c>
      <c r="E14" s="176">
        <v>60</v>
      </c>
      <c r="F14" s="215">
        <v>13.82</v>
      </c>
      <c r="G14" s="215">
        <v>13.82</v>
      </c>
      <c r="H14" s="176">
        <f>G14-F14</f>
        <v>0</v>
      </c>
      <c r="I14" s="176">
        <f>H14*E14</f>
        <v>0</v>
      </c>
      <c r="J14" s="335"/>
      <c r="K14" s="237">
        <f>H14*E14</f>
        <v>0</v>
      </c>
      <c r="L14" s="346">
        <f>K14/1000</f>
        <v>0</v>
      </c>
      <c r="M14" s="315"/>
      <c r="O14" s="347"/>
    </row>
    <row r="15" spans="1:15" s="329" customFormat="1" ht="55.5" customHeight="1" x14ac:dyDescent="0.3">
      <c r="A15" s="176">
        <v>3</v>
      </c>
      <c r="B15" s="255" t="s">
        <v>123</v>
      </c>
      <c r="C15" s="176">
        <v>33</v>
      </c>
      <c r="D15" s="178">
        <v>21102176</v>
      </c>
      <c r="E15" s="176">
        <v>15</v>
      </c>
      <c r="F15" s="215">
        <v>28.32</v>
      </c>
      <c r="G15" s="215">
        <v>30.98</v>
      </c>
      <c r="H15" s="176">
        <f>G15-F15</f>
        <v>2.66</v>
      </c>
      <c r="I15" s="176">
        <f>H15*E15</f>
        <v>39.900000000000006</v>
      </c>
      <c r="J15" s="335"/>
      <c r="K15" s="237">
        <f>H15*E15</f>
        <v>39.900000000000006</v>
      </c>
      <c r="L15" s="346">
        <f>K15/1000</f>
        <v>3.9900000000000005E-2</v>
      </c>
      <c r="M15" s="315"/>
      <c r="O15" s="347"/>
    </row>
    <row r="16" spans="1:15" s="296" customFormat="1" x14ac:dyDescent="0.25">
      <c r="A16" s="176">
        <v>4</v>
      </c>
      <c r="B16" s="348" t="s">
        <v>60</v>
      </c>
      <c r="C16" s="349">
        <v>33</v>
      </c>
      <c r="D16" s="221" t="s">
        <v>88</v>
      </c>
      <c r="E16" s="176">
        <v>60</v>
      </c>
      <c r="F16" s="345">
        <v>365.2</v>
      </c>
      <c r="G16" s="345">
        <v>379.87</v>
      </c>
      <c r="H16" s="256">
        <f t="shared" si="4"/>
        <v>14.670000000000016</v>
      </c>
      <c r="I16" s="256">
        <f>H16*E16</f>
        <v>880.20000000000095</v>
      </c>
      <c r="J16" s="262"/>
      <c r="K16" s="256">
        <f>I16-J16</f>
        <v>880.20000000000095</v>
      </c>
      <c r="L16" s="176">
        <f>K16/1000</f>
        <v>0.88020000000000098</v>
      </c>
      <c r="M16" s="350"/>
    </row>
    <row r="17" spans="1:17" x14ac:dyDescent="0.25">
      <c r="A17" s="176">
        <v>5</v>
      </c>
      <c r="B17" s="255" t="s">
        <v>54</v>
      </c>
      <c r="C17" s="176">
        <v>33</v>
      </c>
      <c r="D17" s="178" t="s">
        <v>52</v>
      </c>
      <c r="E17" s="176">
        <v>1</v>
      </c>
      <c r="F17" s="192">
        <v>28295.5</v>
      </c>
      <c r="G17" s="192">
        <v>28910.799999999999</v>
      </c>
      <c r="H17" s="176">
        <f t="shared" si="4"/>
        <v>615.29999999999927</v>
      </c>
      <c r="I17" s="176"/>
      <c r="J17" s="351">
        <f>H17*E17</f>
        <v>615.29999999999927</v>
      </c>
      <c r="K17" s="258">
        <f>J17</f>
        <v>615.29999999999927</v>
      </c>
      <c r="L17" s="352">
        <f>-K17/1000</f>
        <v>-0.61529999999999929</v>
      </c>
      <c r="M17" s="353" t="s">
        <v>27</v>
      </c>
      <c r="O17" s="156"/>
    </row>
    <row r="18" spans="1:17" x14ac:dyDescent="0.25">
      <c r="A18" s="203">
        <v>6</v>
      </c>
      <c r="B18" s="204" t="s">
        <v>102</v>
      </c>
      <c r="C18" s="203">
        <v>33</v>
      </c>
      <c r="D18" s="205">
        <v>8876852</v>
      </c>
      <c r="E18" s="166">
        <v>24</v>
      </c>
      <c r="F18" s="354">
        <v>0.15049999999999999</v>
      </c>
      <c r="G18" s="354">
        <v>0.15049999999999999</v>
      </c>
      <c r="H18" s="176">
        <f t="shared" si="4"/>
        <v>0</v>
      </c>
      <c r="I18" s="166"/>
      <c r="J18" s="351">
        <f>H18*E18</f>
        <v>0</v>
      </c>
      <c r="K18" s="258">
        <f>J18</f>
        <v>0</v>
      </c>
      <c r="L18" s="352">
        <f>-K18/1000</f>
        <v>0</v>
      </c>
      <c r="M18" s="353" t="s">
        <v>27</v>
      </c>
      <c r="O18" s="156"/>
    </row>
    <row r="19" spans="1:17" x14ac:dyDescent="0.25">
      <c r="A19" s="209"/>
      <c r="B19" s="210"/>
      <c r="C19" s="209"/>
      <c r="D19" s="211"/>
      <c r="E19" s="166">
        <v>24</v>
      </c>
      <c r="F19" s="212">
        <v>0</v>
      </c>
      <c r="G19" s="212">
        <v>0</v>
      </c>
      <c r="H19" s="166">
        <f t="shared" si="4"/>
        <v>0</v>
      </c>
      <c r="I19" s="166">
        <f>H19*E19</f>
        <v>0</v>
      </c>
      <c r="J19" s="355"/>
      <c r="K19" s="356">
        <f>I19</f>
        <v>0</v>
      </c>
      <c r="L19" s="357">
        <f>K19/1000</f>
        <v>0</v>
      </c>
      <c r="M19" s="358" t="s">
        <v>117</v>
      </c>
      <c r="O19" s="156"/>
    </row>
    <row r="20" spans="1:17" x14ac:dyDescent="0.25">
      <c r="A20" s="176">
        <v>7</v>
      </c>
      <c r="B20" s="359" t="s">
        <v>61</v>
      </c>
      <c r="C20" s="190">
        <v>11</v>
      </c>
      <c r="D20" s="191" t="s">
        <v>62</v>
      </c>
      <c r="E20" s="318">
        <v>4</v>
      </c>
      <c r="F20" s="360">
        <v>4303.54</v>
      </c>
      <c r="G20" s="360">
        <v>4521.92</v>
      </c>
      <c r="H20" s="361">
        <f>G20-F20</f>
        <v>218.38000000000011</v>
      </c>
      <c r="I20" s="318">
        <f>E20*H20</f>
        <v>873.52000000000044</v>
      </c>
      <c r="J20" s="362"/>
      <c r="K20" s="363">
        <f>I20</f>
        <v>873.52000000000044</v>
      </c>
      <c r="L20" s="364">
        <f>K20/1000</f>
        <v>0.87352000000000041</v>
      </c>
      <c r="M20" s="358" t="s">
        <v>64</v>
      </c>
      <c r="O20" s="156"/>
    </row>
    <row r="21" spans="1:17" x14ac:dyDescent="0.25">
      <c r="A21" s="176">
        <v>8</v>
      </c>
      <c r="B21" s="233" t="s">
        <v>23</v>
      </c>
      <c r="C21" s="176">
        <v>11</v>
      </c>
      <c r="D21" s="178" t="s">
        <v>32</v>
      </c>
      <c r="E21" s="176">
        <v>4</v>
      </c>
      <c r="F21" s="192">
        <v>3439.69</v>
      </c>
      <c r="G21" s="192">
        <v>3472.96</v>
      </c>
      <c r="H21" s="176">
        <f t="shared" si="4"/>
        <v>33.269999999999982</v>
      </c>
      <c r="I21" s="237"/>
      <c r="J21" s="335">
        <f>H21*E21</f>
        <v>133.07999999999993</v>
      </c>
      <c r="K21" s="258">
        <f>J21</f>
        <v>133.07999999999993</v>
      </c>
      <c r="L21" s="365">
        <f>-K21/1000</f>
        <v>-0.13307999999999992</v>
      </c>
      <c r="M21" s="353" t="s">
        <v>27</v>
      </c>
      <c r="O21" s="366"/>
    </row>
    <row r="22" spans="1:17" ht="14.4" thickBot="1" x14ac:dyDescent="0.3">
      <c r="A22" s="337"/>
      <c r="B22" s="337"/>
      <c r="C22" s="337"/>
      <c r="D22" s="337"/>
      <c r="E22" s="337"/>
      <c r="F22" s="337"/>
      <c r="G22" s="337"/>
      <c r="H22" s="337"/>
      <c r="I22" s="337"/>
      <c r="J22" s="367"/>
      <c r="K22" s="338" t="s">
        <v>19</v>
      </c>
      <c r="L22" s="368">
        <f>SUM(L13:L21)</f>
        <v>5.8416400000000053</v>
      </c>
      <c r="M22" s="340"/>
      <c r="N22" s="156"/>
      <c r="O22" s="156"/>
    </row>
    <row r="23" spans="1:17" s="329" customFormat="1" ht="16.5" customHeight="1" x14ac:dyDescent="0.25">
      <c r="A23" s="369" t="s">
        <v>13</v>
      </c>
      <c r="B23" s="369"/>
      <c r="C23" s="369"/>
      <c r="D23" s="369"/>
      <c r="E23" s="369"/>
      <c r="F23" s="369"/>
      <c r="G23" s="369"/>
      <c r="H23" s="369"/>
      <c r="I23" s="369"/>
      <c r="J23" s="369"/>
      <c r="K23" s="369"/>
      <c r="L23" s="369"/>
      <c r="M23" s="369"/>
      <c r="N23" s="157"/>
      <c r="O23" s="370"/>
      <c r="Q23" s="371"/>
    </row>
    <row r="24" spans="1:17" s="329" customFormat="1" ht="17.25" customHeight="1" x14ac:dyDescent="0.3">
      <c r="A24" s="166">
        <v>1</v>
      </c>
      <c r="B24" s="199" t="s">
        <v>118</v>
      </c>
      <c r="C24" s="190">
        <v>33</v>
      </c>
      <c r="D24" s="168" t="s">
        <v>77</v>
      </c>
      <c r="E24" s="166">
        <v>30</v>
      </c>
      <c r="F24" s="345">
        <v>1903.46</v>
      </c>
      <c r="G24" s="345">
        <v>1970.7560000000001</v>
      </c>
      <c r="H24" s="176">
        <f>G24-F24</f>
        <v>67.296000000000049</v>
      </c>
      <c r="I24" s="176">
        <f>H24*E24</f>
        <v>2018.8800000000015</v>
      </c>
      <c r="J24" s="166"/>
      <c r="K24" s="314">
        <f>I24-J24</f>
        <v>2018.8800000000015</v>
      </c>
      <c r="L24" s="271">
        <f>K24/1000</f>
        <v>2.0188800000000016</v>
      </c>
      <c r="M24" s="372"/>
      <c r="O24" s="373"/>
      <c r="Q24" s="371"/>
    </row>
    <row r="25" spans="1:17" s="329" customFormat="1" ht="15" customHeight="1" x14ac:dyDescent="0.3">
      <c r="A25" s="166">
        <v>2</v>
      </c>
      <c r="B25" s="374" t="s">
        <v>21</v>
      </c>
      <c r="C25" s="190">
        <v>33</v>
      </c>
      <c r="D25" s="168" t="s">
        <v>78</v>
      </c>
      <c r="E25" s="166">
        <v>30</v>
      </c>
      <c r="F25" s="345">
        <v>1084.4000000000001</v>
      </c>
      <c r="G25" s="345">
        <v>1124.5999999999999</v>
      </c>
      <c r="H25" s="166">
        <f>G25-F25</f>
        <v>40.199999999999818</v>
      </c>
      <c r="I25" s="166">
        <f>H25*E25</f>
        <v>1205.9999999999945</v>
      </c>
      <c r="J25" s="166"/>
      <c r="K25" s="375">
        <f>I25-J25</f>
        <v>1205.9999999999945</v>
      </c>
      <c r="L25" s="376">
        <f>K25/1000</f>
        <v>1.2059999999999946</v>
      </c>
      <c r="M25" s="372"/>
      <c r="N25" s="347"/>
      <c r="O25" s="373"/>
      <c r="Q25" s="371"/>
    </row>
    <row r="26" spans="1:17" s="244" customFormat="1" ht="18" customHeight="1" x14ac:dyDescent="0.25">
      <c r="A26" s="176">
        <v>3</v>
      </c>
      <c r="B26" s="328" t="s">
        <v>29</v>
      </c>
      <c r="C26" s="190">
        <v>33</v>
      </c>
      <c r="D26" s="178" t="s">
        <v>79</v>
      </c>
      <c r="E26" s="349">
        <v>30</v>
      </c>
      <c r="F26" s="345">
        <v>445</v>
      </c>
      <c r="G26" s="345">
        <v>460.96</v>
      </c>
      <c r="H26" s="176">
        <f>G26-F26</f>
        <v>15.95999999999998</v>
      </c>
      <c r="I26" s="256">
        <f>H26*E26</f>
        <v>478.79999999999939</v>
      </c>
      <c r="J26" s="176"/>
      <c r="K26" s="314">
        <f>I26-J26</f>
        <v>478.79999999999939</v>
      </c>
      <c r="L26" s="271">
        <f>K26/1000</f>
        <v>0.47879999999999939</v>
      </c>
      <c r="M26" s="377"/>
      <c r="N26" s="378"/>
      <c r="O26" s="243"/>
      <c r="Q26" s="379"/>
    </row>
    <row r="27" spans="1:17" ht="14.4" thickBot="1" x14ac:dyDescent="0.3">
      <c r="D27" s="381"/>
      <c r="J27" s="248"/>
      <c r="K27" s="382" t="s">
        <v>19</v>
      </c>
      <c r="L27" s="383">
        <f>SUM(L24:L26)</f>
        <v>3.7036799999999954</v>
      </c>
    </row>
    <row r="28" spans="1:17" ht="18" thickBot="1" x14ac:dyDescent="0.35">
      <c r="A28" s="279"/>
      <c r="B28" s="384"/>
      <c r="C28" s="385"/>
      <c r="D28" s="286" t="s">
        <v>107</v>
      </c>
      <c r="E28" s="287"/>
      <c r="F28" s="287"/>
      <c r="G28" s="287"/>
      <c r="H28" s="287"/>
      <c r="I28" s="386">
        <f>L11</f>
        <v>7.0690470000000154</v>
      </c>
      <c r="J28" s="290" t="s">
        <v>34</v>
      </c>
      <c r="K28" s="297"/>
      <c r="L28" s="297"/>
      <c r="M28" s="387"/>
      <c r="N28" s="156"/>
      <c r="O28" s="293"/>
    </row>
    <row r="29" spans="1:17" ht="18" thickBot="1" x14ac:dyDescent="0.35">
      <c r="A29" s="279"/>
      <c r="B29" s="384"/>
      <c r="C29" s="297"/>
      <c r="D29" s="286" t="s">
        <v>108</v>
      </c>
      <c r="E29" s="287"/>
      <c r="F29" s="287"/>
      <c r="G29" s="287"/>
      <c r="H29" s="287"/>
      <c r="I29" s="386">
        <f>L22</f>
        <v>5.8416400000000053</v>
      </c>
      <c r="J29" s="290" t="s">
        <v>34</v>
      </c>
      <c r="K29" s="297"/>
      <c r="L29" s="297"/>
      <c r="M29" s="387"/>
      <c r="N29" s="156"/>
    </row>
    <row r="30" spans="1:17" ht="18" thickBot="1" x14ac:dyDescent="0.35">
      <c r="A30" s="279"/>
      <c r="B30" s="384"/>
      <c r="C30" s="385"/>
      <c r="D30" s="388" t="s">
        <v>109</v>
      </c>
      <c r="E30" s="389"/>
      <c r="F30" s="389"/>
      <c r="G30" s="389"/>
      <c r="H30" s="389"/>
      <c r="I30" s="390">
        <f>L27</f>
        <v>3.7036799999999954</v>
      </c>
      <c r="J30" s="391" t="s">
        <v>34</v>
      </c>
      <c r="K30" s="297"/>
      <c r="L30" s="297"/>
      <c r="M30" s="297"/>
      <c r="N30" s="156"/>
    </row>
    <row r="31" spans="1:17" ht="18" thickBot="1" x14ac:dyDescent="0.3">
      <c r="B31" s="384"/>
      <c r="C31" s="392" t="s">
        <v>37</v>
      </c>
      <c r="D31" s="393"/>
      <c r="E31" s="393"/>
      <c r="F31" s="393"/>
      <c r="G31" s="393"/>
      <c r="H31" s="393"/>
      <c r="I31" s="393"/>
      <c r="J31" s="393"/>
      <c r="K31" s="393"/>
      <c r="L31" s="394">
        <f>I28+I29+I30</f>
        <v>16.614367000000016</v>
      </c>
      <c r="M31" s="394"/>
      <c r="N31" s="395" t="s">
        <v>34</v>
      </c>
    </row>
    <row r="32" spans="1:17" ht="18" thickBot="1" x14ac:dyDescent="0.35">
      <c r="B32" s="384"/>
      <c r="C32" s="396"/>
      <c r="D32" s="297"/>
      <c r="E32" s="298"/>
      <c r="F32" s="298"/>
      <c r="G32" s="298"/>
      <c r="H32" s="298"/>
      <c r="I32" s="298"/>
      <c r="J32" s="297"/>
      <c r="K32" s="297"/>
      <c r="L32" s="298"/>
      <c r="M32" s="297"/>
      <c r="N32" s="156"/>
    </row>
    <row r="33" spans="1:13" ht="45" thickBot="1" x14ac:dyDescent="0.3">
      <c r="B33" s="397" t="s">
        <v>104</v>
      </c>
      <c r="C33" s="398"/>
      <c r="D33" s="398"/>
      <c r="E33" s="398"/>
      <c r="F33" s="398"/>
      <c r="G33" s="399">
        <f>L31</f>
        <v>16.614367000000016</v>
      </c>
      <c r="H33" s="399"/>
      <c r="I33" s="399"/>
      <c r="J33" s="399"/>
      <c r="K33" s="399"/>
      <c r="L33" s="399"/>
      <c r="M33" s="400" t="s">
        <v>34</v>
      </c>
    </row>
    <row r="40" spans="1:13" x14ac:dyDescent="0.25">
      <c r="A40" s="157"/>
      <c r="B40" s="157"/>
      <c r="C40" s="157"/>
      <c r="D40" s="280"/>
      <c r="E40" s="157"/>
      <c r="F40" s="157"/>
      <c r="G40" s="157"/>
      <c r="H40" s="157"/>
      <c r="I40" s="157"/>
      <c r="L40" s="157"/>
    </row>
    <row r="42" spans="1:13" x14ac:dyDescent="0.25">
      <c r="A42" s="157"/>
      <c r="B42" s="157"/>
      <c r="C42" s="157"/>
      <c r="D42" s="248"/>
      <c r="E42" s="157"/>
      <c r="F42" s="157"/>
      <c r="G42" s="157"/>
      <c r="H42" s="157"/>
      <c r="I42" s="157"/>
      <c r="L42" s="157"/>
    </row>
  </sheetData>
  <mergeCells count="20">
    <mergeCell ref="A1:M1"/>
    <mergeCell ref="A2:M2"/>
    <mergeCell ref="A4:M4"/>
    <mergeCell ref="C9:C10"/>
    <mergeCell ref="D9:D10"/>
    <mergeCell ref="B9:B10"/>
    <mergeCell ref="A9:A10"/>
    <mergeCell ref="B33:F33"/>
    <mergeCell ref="G33:L33"/>
    <mergeCell ref="A23:M23"/>
    <mergeCell ref="M28:M29"/>
    <mergeCell ref="C31:K31"/>
    <mergeCell ref="L31:M31"/>
    <mergeCell ref="A11:J11"/>
    <mergeCell ref="A12:M12"/>
    <mergeCell ref="A22:J22"/>
    <mergeCell ref="A18:A19"/>
    <mergeCell ref="B18:B19"/>
    <mergeCell ref="D18:D19"/>
    <mergeCell ref="C18:C19"/>
  </mergeCells>
  <pageMargins left="0.39" right="0.56000000000000005" top="0.53" bottom="0.75" header="0.3" footer="0.3"/>
  <pageSetup paperSize="5" orientation="landscape" r:id="rId1"/>
  <ignoredErrors>
    <ignoredError sqref="K20 K17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P13:R13"/>
  <sheetViews>
    <sheetView topLeftCell="A22" workbookViewId="0">
      <selection activeCell="D47" sqref="D47"/>
    </sheetView>
  </sheetViews>
  <sheetFormatPr defaultRowHeight="14.4" x14ac:dyDescent="0.3"/>
  <cols>
    <col min="16" max="16" width="9.5546875" bestFit="1" customWidth="1"/>
    <col min="18" max="18" width="9.5546875" bestFit="1" customWidth="1"/>
  </cols>
  <sheetData>
    <row r="13" spans="16:18" x14ac:dyDescent="0.3">
      <c r="P13" s="1"/>
      <c r="R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Jorhat-ONE</vt:lpstr>
      <vt:lpstr>Teok^</vt:lpstr>
      <vt:lpstr>Jorhat-TWO</vt:lpstr>
      <vt:lpstr>Sheet1</vt:lpstr>
      <vt:lpstr>'Jorhat-ONE'!Print_Area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2022-05-04T07:27:51Z</cp:lastPrinted>
  <dcterms:created xsi:type="dcterms:W3CDTF">2013-04-03T05:37:52Z</dcterms:created>
  <dcterms:modified xsi:type="dcterms:W3CDTF">2026-10-02T11:09:04Z</dcterms:modified>
</cp:coreProperties>
</file>